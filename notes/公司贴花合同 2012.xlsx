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AI\0、公司内部项目\项目归档工具\notes\"/>
    </mc:Choice>
  </mc:AlternateContent>
  <bookViews>
    <workbookView windowWidth="24750" windowHeight="12080" tabRatio="589" firstSheet="1" activeTab="3"/>
  </bookViews>
  <sheets>
    <sheet name="公司已贴花合同一" sheetId="1" r:id="rId1"/>
    <sheet name="公司贴花合同二" sheetId="2" r:id="rId2"/>
    <sheet name="公司贴花合同三" sheetId="3" r:id="rId3"/>
    <sheet name="公司贴花合同四" sheetId="4" r:id="rId4"/>
  </sheets>
  <definedNames>
    <definedName name="_xlnm._FilterDatabase" localSheetId="0" hidden="1">公司已贴花合同一!$A$1:$F$52</definedName>
    <definedName name="_xlnm._FilterDatabase" localSheetId="1" hidden="1">公司贴花合同二!$A$1:$F$58</definedName>
    <definedName name="_xlnm._FilterDatabase" localSheetId="2" hidden="1">公司贴花合同三!$A$1:$I$29</definedName>
    <definedName name="_xlnm._FilterDatabase" localSheetId="3" hidden="1">公司贴花合同四!$B$1:$O$1038</definedName>
    <definedName name="_xlnm.Print_Area" localSheetId="1">公司贴花合同二!$A$1:$F$60</definedName>
    <definedName name="_xlnm.Print_Area" localSheetId="2">公司贴花合同三!$A$1:$I$30</definedName>
    <definedName name="_xlnm.Print_Area" localSheetId="3">公司贴花合同四!$A$1:$Q$1089</definedName>
    <definedName name="_xlnm.Print_Titles" localSheetId="3">公司贴花合同四!$1:$1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<sst xmlns="http://schemas.openxmlformats.org/spreadsheetml/2006/main" count="5716" uniqueCount="2574">
  <si>
    <t>序号</t>
  </si>
  <si>
    <t>项目名称</t>
  </si>
  <si>
    <t>存档时间</t>
  </si>
  <si>
    <t>代理费金额</t>
  </si>
  <si>
    <t>贴花时间</t>
  </si>
  <si>
    <t>贴花金额</t>
  </si>
  <si>
    <t>亚行哈双高速公路交通安全设施采购项目合同</t>
  </si>
  <si>
    <t>22.5万元</t>
  </si>
  <si>
    <t>76.5元</t>
  </si>
  <si>
    <t>黑龙江黑大公路黑河至北安项目咨询服务合同</t>
  </si>
  <si>
    <t>18万元</t>
  </si>
  <si>
    <t>54元</t>
  </si>
  <si>
    <t>首都机场天竺,苇沟扩建工程招标代理合同</t>
  </si>
  <si>
    <t>10万元</t>
  </si>
  <si>
    <t>30元</t>
  </si>
  <si>
    <t>山西亚行侯马至禹门口高速公路前期工作委托协议</t>
  </si>
  <si>
    <t>江苏通启高速公路项目软土地基设计咨询服务合同(南通至海门段)</t>
  </si>
  <si>
    <t>19万元</t>
  </si>
  <si>
    <t>5元</t>
  </si>
  <si>
    <t>江苏通启高速公路项目软土地基设计咨询服务合同(海门至启东段)</t>
  </si>
  <si>
    <t>16万元</t>
  </si>
  <si>
    <t>100元</t>
  </si>
  <si>
    <t>江苏通启高速公路软土施工图设计咨询服告编制委托协议</t>
  </si>
  <si>
    <t>拉萨至贡嘎机场公路新改建施工及监理招标代理合同</t>
  </si>
  <si>
    <t>9万元</t>
  </si>
  <si>
    <t>27元</t>
  </si>
  <si>
    <t>国道220线济南至滨州段公路勘察设计招标代理合同</t>
  </si>
  <si>
    <t>55万元</t>
  </si>
  <si>
    <t>165元</t>
  </si>
  <si>
    <t>青海省国道干线公路项目勘察设计招标代理合同</t>
  </si>
  <si>
    <t>30万元</t>
  </si>
  <si>
    <t>90元</t>
  </si>
  <si>
    <t>同三粤境茂湛高速观坡项目路面工程施工文件修订合同</t>
  </si>
  <si>
    <t>8万元</t>
  </si>
  <si>
    <t>14元</t>
  </si>
  <si>
    <t>亚行侯马至禹门口高速公路土建工程招标代理合同</t>
  </si>
  <si>
    <t>70万元</t>
  </si>
  <si>
    <t>210元</t>
  </si>
  <si>
    <t>山西大同至新广武高速公路机电工程招标代理合同</t>
  </si>
  <si>
    <t>山西太原至祁县高速公路机电工程招标代理合同</t>
  </si>
  <si>
    <t>217元</t>
  </si>
  <si>
    <t>山西临汾至侯马高速公路机电工程招标代理合同</t>
  </si>
  <si>
    <t>70元</t>
  </si>
  <si>
    <t>山西侯马至运城高速公路机电工程招标代理合同</t>
  </si>
  <si>
    <t>133元</t>
  </si>
  <si>
    <t>亚行山西祁临高速公路交通安全设计招标代理合同</t>
  </si>
  <si>
    <t>50万元</t>
  </si>
  <si>
    <t>150元</t>
  </si>
  <si>
    <t>广东渝湛国道主干线高桥（粤桂界）至遂溪高速公路项目文件修订合同</t>
  </si>
  <si>
    <t>山西太原至长治段高速公路勘察设计招标代理合同</t>
  </si>
  <si>
    <t>48万元</t>
  </si>
  <si>
    <t>144元</t>
  </si>
  <si>
    <t>甘肃兰临高速公路土建工程及监理招标代理合同</t>
  </si>
  <si>
    <t>60万元</t>
  </si>
  <si>
    <t>180元</t>
  </si>
  <si>
    <t>青海省国道招标服务合同</t>
  </si>
  <si>
    <t>12万元</t>
  </si>
  <si>
    <t>36元</t>
  </si>
  <si>
    <t>福州罗长高速公路路面及安全设计施工招标标底编制委托合同</t>
  </si>
  <si>
    <t>13万元</t>
  </si>
  <si>
    <t>39元</t>
  </si>
  <si>
    <t>龙海西溪大桥施工招标代理合同</t>
  </si>
  <si>
    <t>16.65万元</t>
  </si>
  <si>
    <t>50元</t>
  </si>
  <si>
    <t>龙海西溪大桥监理招标代理合同</t>
  </si>
  <si>
    <t>2.3万元</t>
  </si>
  <si>
    <t>7元</t>
  </si>
  <si>
    <t>龙海西溪大桥咨询服务协议</t>
  </si>
  <si>
    <t>10.89万元</t>
  </si>
  <si>
    <t>33元</t>
  </si>
  <si>
    <t>江苏海事局四艘趸船建造项目</t>
  </si>
  <si>
    <t>5.9万元</t>
  </si>
  <si>
    <t>18元</t>
  </si>
  <si>
    <t>福建泰宁连接线咨询服务</t>
  </si>
  <si>
    <t>11万元</t>
  </si>
  <si>
    <t>福建泰宁连接线项目招标代理合同</t>
  </si>
  <si>
    <t>10.8万元</t>
  </si>
  <si>
    <t>73元</t>
  </si>
  <si>
    <t>广西海事局建造六艘钢制趸船和一艘漓江30米巡逻船代理合同</t>
  </si>
  <si>
    <t>24元</t>
  </si>
  <si>
    <t>北京蓝天中交科技发展有限公司合同协议</t>
  </si>
  <si>
    <t>同三国道主干线粤境阳茂高速公路绿化、房建、交通安全文件修订合同</t>
  </si>
  <si>
    <t>24万元</t>
  </si>
  <si>
    <t>72元</t>
  </si>
  <si>
    <t>上海海事局水文测量船和400T航标船建造招标代理合同</t>
  </si>
  <si>
    <t>43元</t>
  </si>
  <si>
    <t>贵阳市乌当区云锦庄至开阳二级公路路基工程施工、监理招标代理合同</t>
  </si>
  <si>
    <t>91元</t>
  </si>
  <si>
    <t>山东海阳至即墨高速公路勘察设计招标代理合同</t>
  </si>
  <si>
    <t>11.36万元</t>
  </si>
  <si>
    <t>34元*</t>
  </si>
  <si>
    <t>山东青岛至海阳高速公路勘察设计招标代理合同</t>
  </si>
  <si>
    <t>24.67万元</t>
  </si>
  <si>
    <t>74元</t>
  </si>
  <si>
    <t>山东新河至滨州高速公路勘察设计招标代理合同</t>
  </si>
  <si>
    <t>19.28万元</t>
  </si>
  <si>
    <t>58元</t>
  </si>
  <si>
    <t>山东青州至鲁苏界高速公路勘察设计招标代理合同</t>
  </si>
  <si>
    <t>21.12万元</t>
  </si>
  <si>
    <t>64元</t>
  </si>
  <si>
    <t>贵州省黔西南望漠至蔗香公路土建施工、监理招标代理合同</t>
  </si>
  <si>
    <t>9.168364万元</t>
  </si>
  <si>
    <t>28元</t>
  </si>
  <si>
    <t>山西阳城至阳侯高速公路BT招标代理合同</t>
  </si>
  <si>
    <t>40万元</t>
  </si>
  <si>
    <t>120元</t>
  </si>
  <si>
    <t>山东大高--鲁冀界两阶段公路勘察设计招标代理合同</t>
  </si>
  <si>
    <t>23.6万元</t>
  </si>
  <si>
    <t>71元</t>
  </si>
  <si>
    <t>山西晋城至济源勘察设计招标代理合同</t>
  </si>
  <si>
    <t>15万元</t>
  </si>
  <si>
    <t>45元</t>
  </si>
  <si>
    <t>河南漯河至平顶山土建施工及监理招标代理合同</t>
  </si>
  <si>
    <t>杭州湾跨海大桥南岸接线土建施工及监理资审及招标文编制招标合同</t>
  </si>
  <si>
    <t>45万元</t>
  </si>
  <si>
    <t>135元</t>
  </si>
  <si>
    <t>杭州湾跨海大桥南岸接线土建施工及监理招标代理合同</t>
  </si>
  <si>
    <t>杭州湾跨海大桥南岸接线技术咨询合同</t>
  </si>
  <si>
    <t>6万元</t>
  </si>
  <si>
    <t>山东济菏高速公路勘察设计招标代理合同</t>
  </si>
  <si>
    <t>29万元</t>
  </si>
  <si>
    <t>87元</t>
  </si>
  <si>
    <t>佛山和顺至北窖公路主干线施工及监理招标代理合同</t>
  </si>
  <si>
    <t>75.3万元</t>
  </si>
  <si>
    <t>226元</t>
  </si>
  <si>
    <t>首都机场大修工程设计招标代理合同</t>
  </si>
  <si>
    <t>北京市公路建设项目代建制招标文件范本编制合同</t>
  </si>
  <si>
    <t>5万元</t>
  </si>
  <si>
    <t>15元</t>
  </si>
  <si>
    <t>与四川中联招投标有限公司（四川分公司）合作协议书</t>
  </si>
  <si>
    <t>育才--布朗就广州大学城(小谷围岛)咨询服务协议</t>
  </si>
  <si>
    <t>廊坊采留线一级公路施工及监理招标代理合同</t>
  </si>
  <si>
    <t>河南省兴豫建设管理有限公司合作协议书</t>
  </si>
  <si>
    <t>哈尔滨市金城工程项目管理有限责任公司合作协议书</t>
  </si>
  <si>
    <t>湖南长沙至株洲高速公路项目材料、施工、监理设备房建和绿化招标合同</t>
  </si>
  <si>
    <t>山西阳城至侯马高速公路项目招标代理合同</t>
  </si>
  <si>
    <t>山西运风勘察设计招标中标服务费承诺书</t>
  </si>
  <si>
    <t>山西晋城至济原高速公路委托代理合同</t>
  </si>
  <si>
    <t>484.33万元</t>
  </si>
  <si>
    <t>1453元</t>
  </si>
  <si>
    <t>湖南潭衡设计、施工、监理、房建、绿化、材料和设备采购招标代理合同</t>
  </si>
  <si>
    <t>湖南邵新设计、施工、监理、房建、绿化、材料和设备采购招标代理合同</t>
  </si>
  <si>
    <t>河北承唐高速公路勘察设计招标代理合同</t>
  </si>
  <si>
    <t>福建三都澳国际集装箱码头工程招标代理合同</t>
  </si>
  <si>
    <t>软件委托开发合同</t>
  </si>
  <si>
    <t>3万元</t>
  </si>
  <si>
    <t>9元</t>
  </si>
  <si>
    <t>北京路达桥通工程咨询有限公司湖南长株劳务咨询服务协议</t>
  </si>
  <si>
    <t>山西离军高速公路资审文件、招标文件、最高限价编制合同</t>
  </si>
  <si>
    <t>北京华北世纪技术咨询有限公司建设工程招标咨询服务协议</t>
  </si>
  <si>
    <t>长株高速公路土建工程施工招标文件评审协议书</t>
  </si>
  <si>
    <t>长株材料、施工、监理、设备、房建和绿化招标委托代理合同补充协议</t>
  </si>
  <si>
    <t>83.33万元</t>
  </si>
  <si>
    <t>250元</t>
  </si>
  <si>
    <t>山西离军土建工程招标代理合同</t>
  </si>
  <si>
    <t>448.66万元</t>
  </si>
  <si>
    <t>1346元</t>
  </si>
  <si>
    <t>湖北兴城工程招标公司就浙江省温州市东片污水处理厂BOT项目合作协议书</t>
  </si>
  <si>
    <t>山西忻州至阜平(长城岭)勘察设计招标委托代理合同</t>
  </si>
  <si>
    <t>25.33万元</t>
  </si>
  <si>
    <t>76元</t>
  </si>
  <si>
    <t>首都机场大修土建部分施工及监理招标代理合同</t>
  </si>
  <si>
    <t>36万元</t>
  </si>
  <si>
    <t>108元</t>
  </si>
  <si>
    <t>山东德商干线菏泽至曹县高速公路土建施工及监理招标代理合同</t>
  </si>
  <si>
    <t>160万元</t>
  </si>
  <si>
    <t>300元？</t>
  </si>
  <si>
    <t>山西侯禹高速公路房建工程施工招标文件编制合同</t>
  </si>
  <si>
    <t>山东德商干线菏泽至曹县高速公路钢筋、水泥、沥青和土工材料招标代理合同</t>
  </si>
  <si>
    <t>山东省滨州至德州两阶段公路勘察设计招标代理合同</t>
  </si>
  <si>
    <t>37万元</t>
  </si>
  <si>
    <t>111元</t>
  </si>
  <si>
    <t>国道210线阿镇至苏家河畔段旧路改建工程土建施工及监理招标代理合同</t>
  </si>
  <si>
    <t>44万元</t>
  </si>
  <si>
    <t>132元</t>
  </si>
  <si>
    <t>山西省侯马至禹门口高速公路房建工程招标采购委托代理合同</t>
  </si>
  <si>
    <t>山西省忻州至保德高速公路勘察设计招标代理合同</t>
  </si>
  <si>
    <t>68.66万元</t>
  </si>
  <si>
    <t>206元</t>
  </si>
  <si>
    <t>首都机场大修土建部分施工及监理招标代理合同补充协议</t>
  </si>
  <si>
    <t>湖南省潭衡高速公路和邵新公路招标项目技术文件编制合同协议书</t>
  </si>
  <si>
    <t>80万元</t>
  </si>
  <si>
    <t>240元</t>
  </si>
  <si>
    <t>海南省海榆东线琼海至陵水段公路改建工程技术咨询服务合同</t>
  </si>
  <si>
    <t>山西省灵丘至山阴、汾阳至平遥、平遥至榆社等三条高速公路勘察设计合同</t>
  </si>
  <si>
    <t>145元</t>
  </si>
  <si>
    <t>山西境长治至临汾段高速公路勘察设计合同</t>
  </si>
  <si>
    <t>141元</t>
  </si>
  <si>
    <t>海南省海榆东线琼海至陵水段公路改建工程委托代理合同</t>
  </si>
  <si>
    <t>49万元</t>
  </si>
  <si>
    <t>147元</t>
  </si>
  <si>
    <t>湖南省邵新二级公路招标项目咨询服务协议</t>
  </si>
  <si>
    <t>湖南省湘潭至衡阳西线高速公路招标项目咨询服务协议</t>
  </si>
  <si>
    <t>山西省高速公路货车计重收费系统设备供货与安装委托代理合同</t>
  </si>
  <si>
    <t>杭州湾跨海大桥南岸接线工程路面施工及监理招标项目委托代理合同</t>
  </si>
  <si>
    <t>38.45万元</t>
  </si>
  <si>
    <t>116元</t>
  </si>
  <si>
    <t>河北省大庆至广州高速公路深州至大名（冀豫界）段项目勘察设计招标合同</t>
  </si>
  <si>
    <t>12.7968万元</t>
  </si>
  <si>
    <t>丹东至拉萨国道主干线临河过境公路工程土建施工、监理招标委托代理合同</t>
  </si>
  <si>
    <t>140万元</t>
  </si>
  <si>
    <t>420元</t>
  </si>
  <si>
    <t>西部开发省际通道包头至树林召高速公路土建施工、监理招标委托代理合同</t>
  </si>
  <si>
    <t>国道110线老爷庙至集宁段旧路改扩建工程（I）土建施工、监理招标合同</t>
  </si>
  <si>
    <t>国道110线集宁至呼和浩特段旧路改扩建工程（I）土建施工、监理招标合同</t>
  </si>
  <si>
    <t>25万元</t>
  </si>
  <si>
    <t>75元</t>
  </si>
  <si>
    <t>中交华北（北京）技术咨询有限公司建设工程招标咨询服务协议（承唐土建）</t>
  </si>
  <si>
    <t>长（春）深（圳）公路承德至承唐界段工程土建施工、监理招标委托代理合同</t>
  </si>
  <si>
    <t>68万元</t>
  </si>
  <si>
    <t>204元</t>
  </si>
  <si>
    <t>长春至农安段工程施工监理招标委托代理合同</t>
  </si>
  <si>
    <t>20万元</t>
  </si>
  <si>
    <t>60元</t>
  </si>
  <si>
    <t>山西省普通公路货车计重收费系统设备供货与安装委托代理合同</t>
  </si>
  <si>
    <t>75.0812万</t>
  </si>
  <si>
    <t>宁波象山港大桥及接线工程项目象山港大桥钢管桩试桩工程招标委托代理合同</t>
  </si>
  <si>
    <t>27万元</t>
  </si>
  <si>
    <t>81元</t>
  </si>
  <si>
    <t>杭州湾跨海大桥南岸接线工程机电工程及监理招标项目委托代理合同</t>
  </si>
  <si>
    <t>21.46万元</t>
  </si>
  <si>
    <t>65元</t>
  </si>
  <si>
    <t>杭州湾跨海大桥南岸接线工程交通安全设施工程招标委托代理合同</t>
  </si>
  <si>
    <t>25.15万元</t>
  </si>
  <si>
    <t>宁夏同沿段什字至沿川子段路基、桥梁、隧道工程固原至沿川子段路面工程合同</t>
  </si>
  <si>
    <t>40万</t>
  </si>
  <si>
    <t>唐山市曹妃甸工业区1#桥工程建设实施代建单位招标委托代理合同</t>
  </si>
  <si>
    <t>2万</t>
  </si>
  <si>
    <t>6元</t>
  </si>
  <si>
    <t>宁波象山港大桥及接线工程勘察设计招标</t>
  </si>
  <si>
    <t>唐山市曹妃甸工业区1#桥工程施工和监理招标文件咨询服务协议</t>
  </si>
  <si>
    <t>北京华纬交通工程公司公路桥梁工程招标技术咨询服务</t>
  </si>
  <si>
    <t xml:space="preserve">  </t>
  </si>
  <si>
    <t>合同日期</t>
  </si>
  <si>
    <r>
      <t>国道1</t>
    </r>
    <r>
      <rPr>
        <sz val="12"/>
        <rFont val="宋体"/>
        <charset val="134"/>
      </rPr>
      <t>04济南零点立交至燕山立交高架桥工程勘察设计招标</t>
    </r>
  </si>
  <si>
    <t>19.3万元</t>
  </si>
  <si>
    <t>山东省德州至商丘（鲁豫界）干线公路菏泽至曹线高速公路补充合同</t>
  </si>
  <si>
    <t>杭州湾跨海大桥南岸接线项目伸缩缝招标代理合同</t>
  </si>
  <si>
    <t>11.25万元</t>
  </si>
  <si>
    <t>青兰线青岛至莱芜高速公路交通工程施工招标代理合同</t>
  </si>
  <si>
    <t>青兰线青岛至莱芜高速公路机电工程施工招标代理合同</t>
  </si>
  <si>
    <t>35万元</t>
  </si>
  <si>
    <t>荣乌线辛庄子至取王段高速公路房建设备项目招标</t>
  </si>
  <si>
    <t>山西汾阳至平遥高速公路项目委托代理合同</t>
  </si>
  <si>
    <t>山西太原至佳县高速公路项目东段勘察设计招标代理合同</t>
  </si>
  <si>
    <t>349555元</t>
  </si>
  <si>
    <t>山西太原至佳县高速公路项目西段勘察设计招标代理合同</t>
  </si>
  <si>
    <t>419312元</t>
  </si>
  <si>
    <t>山东海阳宁字河口大桥工程项目委托代理合同</t>
  </si>
  <si>
    <t>珲春至乌兰浩特公路石头井子（蒙吉界）至乌兰浩特段公路土建施工及监理合同</t>
  </si>
  <si>
    <t>125+39.16万元</t>
  </si>
  <si>
    <t>山西汾阳至平遥高速公路项目路面及沿线附属设施工程委托代理合同</t>
  </si>
  <si>
    <t>78万元</t>
  </si>
  <si>
    <t>首都机场高速公路大修工程声屏障安装及中央隔离带滴灌工程施工招标合同</t>
  </si>
  <si>
    <t>长春至深圳线青州至临沭（鲁苏界）公路勘察设计招标项目委托代理合同</t>
  </si>
  <si>
    <t>35.3万元</t>
  </si>
  <si>
    <t>烟台港莱州港区疏港公路勘察设计招标项目委托代理合同</t>
  </si>
  <si>
    <t>9.9万元</t>
  </si>
  <si>
    <t>烟台港龙口港区疏港公路勘察设计招标项目委托代理合同</t>
  </si>
  <si>
    <t>日照港疏港公路勘察设计招标项目委托代理合同</t>
  </si>
  <si>
    <t>高唐至邢台公路高唐至临清段公路勘察设计招标项目委托代理合同</t>
  </si>
  <si>
    <t>14.8万元</t>
  </si>
  <si>
    <t>北京市门头沟区担下路道路工程勘察设计招标委托代理合同</t>
  </si>
  <si>
    <t>北京市门头沟区清千路道路改造工程勘察设计招标项目委托代理合同</t>
  </si>
  <si>
    <t>北京市门头沟区高沿路道路工程勘察设计招标项目委托代理合同</t>
  </si>
  <si>
    <t>山东省德州至商丘（鲁豫界）干线公路菏泽至曹线高速公路补充合同2（山西路晟）</t>
  </si>
  <si>
    <t>山西境临汾至吉县段高速公路项目路基、桥涵、隧道工程施工和监理招标代理合同</t>
  </si>
  <si>
    <t>山西太原至佳县高速公路东段项目路基、路面、桥隧、房建、安全设施、机电、绿化工程及设备采购的施工及监理和统购材料招标委托代理合同</t>
  </si>
  <si>
    <t>山东省滨州至德州（鲁冀界）高速公路工程施工及施工监理招标委托咨询合同</t>
  </si>
  <si>
    <t>湖南省长沙至浏阳高速公路项目招标代理合同</t>
  </si>
  <si>
    <t>260万元</t>
  </si>
  <si>
    <t>湖南长沙至株洲高速公路项目招标代理委托合同补充协议二</t>
  </si>
  <si>
    <t>济南至徐州公路东平至济宁段勘察设计招标项目委托代理合同</t>
  </si>
  <si>
    <t>22万元</t>
  </si>
  <si>
    <t>对方企业名称</t>
  </si>
  <si>
    <t>总投资额（万元）</t>
  </si>
  <si>
    <t>合同性质</t>
  </si>
  <si>
    <t>合同同内容</t>
  </si>
  <si>
    <t>项目负责人</t>
  </si>
  <si>
    <t>技术负责人</t>
  </si>
  <si>
    <t>代理费金额（万元）</t>
  </si>
  <si>
    <t>应贴花金额（元）</t>
  </si>
  <si>
    <t>已贴花金额（元）</t>
  </si>
  <si>
    <t>份数</t>
  </si>
  <si>
    <t>存档日期</t>
  </si>
  <si>
    <t>汇总纳税</t>
  </si>
  <si>
    <t>统一社会信用代码</t>
  </si>
  <si>
    <t>太原至佳县高速公路（东段）施工招标项目技术咨询服务合同（购车）</t>
  </si>
  <si>
    <t>太原市华宝通工程监理有限公司</t>
  </si>
  <si>
    <t>山西省太原至古交高速公路项目路基、路面交安、机电、房建、绿化等施工及监理招标代理合同</t>
  </si>
  <si>
    <t>山西省太古高速公路建设管理处</t>
  </si>
  <si>
    <t>国家高速公路网荣成至乌海公路山西境灵丘至山阴高速公路项目招标代理合同</t>
  </si>
  <si>
    <t>大同高速公路建设管理处</t>
  </si>
  <si>
    <t>国家高速公路网荣成至乌海公路山西境山阴至平鲁段高速公路项目招标代理合同</t>
  </si>
  <si>
    <t>朔州高速公路建设管理处</t>
  </si>
  <si>
    <t>国家高速公路网荣成至乌海公路山西境山阴至平鲁段高速公路项目招标代理合同补充协议</t>
  </si>
  <si>
    <t>山西省榆次龙白至祁县城赵高速公路勘察设计招标项目技术咨询服务合同</t>
  </si>
  <si>
    <t>山西路华通工程咨询有限公司</t>
  </si>
  <si>
    <t>高唐至邢台公路高唐至临清等四条公路工程施工招标固化工程量清单编制委托合同</t>
  </si>
  <si>
    <t>山东省交通厅公路局</t>
  </si>
  <si>
    <t>公路工程土建施工保险招标文件编制委托合同</t>
  </si>
  <si>
    <t>贵州省绥阳至遵义高速公路勘察设计招标委托代理合同</t>
  </si>
  <si>
    <t>遵义高速公路开发投资有限公司</t>
  </si>
  <si>
    <t>德商夏津至聊城段勘察设计招标委托代理合同</t>
  </si>
  <si>
    <t>德商聊城至范县段勘察设计招标委托代理合同</t>
  </si>
  <si>
    <t>德商德州至夏津段勘察设计招标委托代理合同</t>
  </si>
  <si>
    <t>济南至徐州公路济宁至鱼段勘察设计招标委托代理合同</t>
  </si>
  <si>
    <t>长（春）深（圳）公路承德至承唐界段路面工程施工及监理招标委托代理合同</t>
  </si>
  <si>
    <t>河北承德承唐高速公路管理处</t>
  </si>
  <si>
    <t>长（春）深（圳）公路承德至承唐界段绿化工程、房建工程施工及房建工程施工监理招标委托代理合同</t>
  </si>
  <si>
    <t>山西平鲁至朔州高速公路项目招标代理合同（带走修改王伟）</t>
  </si>
  <si>
    <t>平朔高速公路建设管理处</t>
  </si>
  <si>
    <t>北京市路政局门头沟公路分局</t>
  </si>
  <si>
    <t>北京市门头沟区担下路道路工程勘察设计招标项目委托代理合同</t>
  </si>
  <si>
    <t>山西省朔州高速公路车辆及养护设备采购项目招标代理合同</t>
  </si>
  <si>
    <t>山西省朔州高速公路有限责任公司</t>
  </si>
  <si>
    <t>中华人民共和国亚洲开发银行贷款西部大通道银川至武汉公路（宁夏境）同心至沿川子段高速公路项目什字至沿川子段路基、桥梁、隧道工程固原至沿川子段路面工程招标采购委托代理合同补充协议</t>
  </si>
  <si>
    <t>宁夏公路建设管理局</t>
  </si>
  <si>
    <t>中华人民共和国亚洲开发银行贷款宁夏道路发展项目李旺至九道三级公路等五条地方道路招标采购委托代理合同</t>
  </si>
  <si>
    <t>湖南省长沙至浏阳高速公路招标项目技术咨询服务协议</t>
  </si>
  <si>
    <t>北京福迪信信息咨询有限公司</t>
  </si>
  <si>
    <t>京昆高速公路山西省界平定至阳曲段工程初步设计及施工图勘察设计</t>
  </si>
  <si>
    <t>山西省交通厅重点公路工程建设办公室</t>
  </si>
  <si>
    <t>山西临吉外场供电技术咨询服务合同</t>
  </si>
  <si>
    <t>山西地能电力设计有限公司</t>
  </si>
  <si>
    <t>霍州至永和关东、西段及五台至盂县高速公路勘察设计招标代理合同</t>
  </si>
  <si>
    <t>广灵至浑源、吕梁环城及临县至离石高速公路勘察设计招标代理合同</t>
  </si>
  <si>
    <t>山西灵丘至山阴高速公路项目最高限价编制</t>
  </si>
  <si>
    <t>太原市四海纵横技术咨询有限公司</t>
  </si>
  <si>
    <t>长安高速公路长治至平顺段项目最高限价编制</t>
  </si>
  <si>
    <t>山西路鑫交通科技咨询有限公司</t>
  </si>
  <si>
    <t>山西临汾至吉县高速公路项目最高限价编制</t>
  </si>
  <si>
    <t>太原晋万通公路勘察设计有限公司</t>
  </si>
  <si>
    <t>山西榆次龙白至祁县城赵高速公路项目控制价上限编制</t>
  </si>
  <si>
    <t>山东省东明黄河公路大桥工程勘察设计招标委托代理合同</t>
  </si>
  <si>
    <t>山东让古戎投资控股集团有限公司</t>
  </si>
  <si>
    <t>长（春）深（圳）公路承德至承唐界段交通安全设施工程、机电工程施工及机电工程施工监理招标委托代理合同</t>
  </si>
  <si>
    <t>山西省国道108线神堂堡至砂河段一级公路项目招标代理合同</t>
  </si>
  <si>
    <t>山西省公路局忻州分局</t>
  </si>
  <si>
    <t>施工、交安、绿化、勘察设计</t>
  </si>
  <si>
    <t>山西太原高速公路有限公司南内互通等项目（南内、长风西街、武宿、新增、滨河西、大运义望枢纽）招标代理合同</t>
  </si>
  <si>
    <t>山西省太原高速公路有限公司</t>
  </si>
  <si>
    <t>太原东环高速公路桥梁防撞护栏安全加固改选工程施工招标代理合同</t>
  </si>
  <si>
    <t>山西省太原东山过境高速公路杨家峪分离式立交工程施工招标代理合同</t>
  </si>
  <si>
    <t>太原至古交高速公路隧道可视监控、人员安全检测以及隧道地质超前预报、衬砌质量检测、监控量测工程招标代理合同（中铁十二局集团S2标段）</t>
  </si>
  <si>
    <t>中铁一局集团有限公司太古高速公路S2标项目经理部</t>
  </si>
  <si>
    <t>太原至古交高速公路隧道可视监控、人员安全检测以及隧道地质超前预报、衬砌质量检测、监控量测工程招标代理合同（中铁一局集团S3标段）</t>
  </si>
  <si>
    <t>中铁一局集团有限公司太古高速公路S3标项目经理部</t>
  </si>
  <si>
    <t>太原至古交高速公路隧道可视监控、人员安全检测以及隧道地质超前预报、衬砌质量检测、监控量测工程招标代理合同（山西路桥建设集团有限公司S4标段）</t>
  </si>
  <si>
    <t>中铁一局集团有限公司太古高速公路S4标项目经理部</t>
  </si>
  <si>
    <t>山西省太原至古交高速公路项目最高限价编制技术咨询合同</t>
  </si>
  <si>
    <t>山西省太原西北环高速公路养护工程施工招标代理合同</t>
  </si>
  <si>
    <t>山西省太原南环高这公路公路小店高架特大桥加固维修工程施工招标代理合同</t>
  </si>
  <si>
    <t>贵州省瓮安至马场坪高速公路项目招标代理合同</t>
  </si>
  <si>
    <t>贵州泰平高速公路投资开发有限公司</t>
  </si>
  <si>
    <t>勘察设计、施工、监理、项目管理和咨询、设备材料采购</t>
  </si>
  <si>
    <t>青兰高速公路山西境黎城至长治段拓宽改造工程招标代理合同</t>
  </si>
  <si>
    <t>长治高速公路有限责任公司</t>
  </si>
  <si>
    <t>勘察设计、施工、监理、设备材料采购</t>
  </si>
  <si>
    <t>灵河高速（原神段）工程施工招标项目技术咨询合同</t>
  </si>
  <si>
    <t>山西天创博达工程咨询有限公司</t>
  </si>
  <si>
    <t>咨询</t>
  </si>
  <si>
    <t>山东省滨州至德州（鲁冀界）高速公路房建工程施工及施工监理服务招标委托代理合同</t>
  </si>
  <si>
    <t>山东省滨州至德州高速公路建设项目办公室</t>
  </si>
  <si>
    <t>山西省忻州市省道路崞五线、国道209线路面改造工程招标代理合同</t>
  </si>
  <si>
    <t>施工、监理</t>
  </si>
  <si>
    <t>山西省大营至神池、神池至河曲、左权至黎城高速公路、北京至新疆高速公路山西段、运三高速三门峡公铁黄河大桥连接线勘察设计招标代理合同</t>
  </si>
  <si>
    <t>勘察设计</t>
  </si>
  <si>
    <t>山西省阳泉至左权、吉县至河津、岢岚至临县高速公路、太佳高速临县黄河特大桥勘察设计招标代理合同</t>
  </si>
  <si>
    <t>阳泉西环、忻州环城、繁峙至大营及王庄堡至繁峙高速公路勘察设计招标代理合同</t>
  </si>
  <si>
    <t>黎城至霍州、河曲黄河大桥等十二条高速公路、桥梁项目水土保持方案、环境影响评价编制单位比选代理合同</t>
  </si>
  <si>
    <t>水土、环保</t>
  </si>
  <si>
    <t>忻州环城高速公路项目招标代理合同</t>
  </si>
  <si>
    <t>忻州环城高速公路建设管理处</t>
  </si>
  <si>
    <t>北京天和天鸿工程咨询有限公司合作协议书</t>
  </si>
  <si>
    <t>国道208线金家湾-秀女河段改建工程招标代理合同</t>
  </si>
  <si>
    <t>大同富恒交通建设有限责任公司国道208线改建工程建设管理处</t>
  </si>
  <si>
    <t>施工、监理、材料设备采购</t>
  </si>
  <si>
    <t>日照港疏港等六个高速公路项目招标代理服务代理合同协议书（一标段）</t>
  </si>
  <si>
    <t>山东省交通运输厅公路局</t>
  </si>
  <si>
    <t>日照港疏港等六个高速公路项目招标代理服务代理合同协议书（二标段）</t>
  </si>
  <si>
    <t>临汾枢纽互通式立交路基、桥涵、路面、机电、交通安全设施工程施工和监理招标招标代理合同</t>
  </si>
  <si>
    <t>山西省临吉高速公路建设管理处</t>
  </si>
  <si>
    <t>省道304平方线虎头隧道改扩建工程项目招标代理合同</t>
  </si>
  <si>
    <t>省道304平方线虎头山隧道改扩建工程项目</t>
  </si>
  <si>
    <t>勘察设计、施工、监理、设备采购</t>
  </si>
  <si>
    <t>北京市门头沟区担下路担礼大桥新建工程招标代理合同</t>
  </si>
  <si>
    <t>北京市交通委员会路政局门头沟公路分局</t>
  </si>
  <si>
    <t>山西省阳泉至左权、左权至黎城高速公路工程招标代理合同</t>
  </si>
  <si>
    <t>阳黎高速公路建设管理处</t>
  </si>
  <si>
    <t>山西省阳泉至左权、左权至黎城高速公路工程招标代理补充协议</t>
  </si>
  <si>
    <t>替换</t>
  </si>
  <si>
    <t>山西省高速公路非现金结算系统建设项目联网收费软件及配套设备升级改造工程委托代理合同</t>
  </si>
  <si>
    <t>山西省高速公路管理局</t>
  </si>
  <si>
    <t>山西省高速公路不停车收费系统（一期工程）机电工程施工、施工监理及设备采购委托招标代理合同</t>
  </si>
  <si>
    <t>设备采购</t>
  </si>
  <si>
    <t>吉县至河津高速公路招标代理合同</t>
  </si>
  <si>
    <t>吉河高速公路建设管理处</t>
  </si>
  <si>
    <t>吉县至河津高速公路招标代理补充协议</t>
  </si>
  <si>
    <t>山东省滨州至德州（鲁冀界）高速公路检测工作服务及工程保险招标委托代理合同</t>
  </si>
  <si>
    <t>山东省滨州至德州（鲁冀界）高速公路房建精装修工程施工招标委托代理合同</t>
  </si>
  <si>
    <t>施工</t>
  </si>
  <si>
    <t>山东省滨州至德州（鲁冀界）高速公路机电工程施工及机电监理服务招标委托代理合同</t>
  </si>
  <si>
    <t>山东省滨州至德州（鲁冀界）高速公路交通安全设施工程施工招标委托代理合同</t>
  </si>
  <si>
    <t>山东省滨州至德州（鲁冀界）高速公路绿化工程施工招标委托代理合同</t>
  </si>
  <si>
    <t>山西省太原高速公路小店滨河收费站勘察设计、施工及监理招标代理合同</t>
  </si>
  <si>
    <t>山西省太原高速公路运营指挥监控信息中心房建工程施工招标代理合同</t>
  </si>
  <si>
    <t>108国道霍州退沙至侯马凤城一级公路路面改造工程项目招标代理合同</t>
  </si>
  <si>
    <t>山西省公路局临汾分局108国道霍侯一级路路面改造工程项目部</t>
  </si>
  <si>
    <t>济广高速济南连接线工程勘察设计招标委托代理合同</t>
  </si>
  <si>
    <t>济南至东营公路工程勘察设计招标委托代理合同</t>
  </si>
  <si>
    <t>北京通州区京塘路、黄马路、通顺路绿化工程招标委托代理合同</t>
  </si>
  <si>
    <t>北京市交通委员会路政局通州公路分局</t>
  </si>
  <si>
    <t>潜江至石首高速公路和武穴长江公路大桥项目招标代理合同</t>
  </si>
  <si>
    <t>湖北省交通投资有限公司</t>
  </si>
  <si>
    <t>2013年北京市市管城市桥梁大修工程储备项目SJ1-SJ5标段设计招标委托协议</t>
  </si>
  <si>
    <t>北京市城市道路养护管理中心</t>
  </si>
  <si>
    <t>设计</t>
  </si>
  <si>
    <t>北京门头沟区鲁坨路（京原公路旧路～鲁家山生物质能源厂）道路工程BT、交安、绿化施工及监理招标代理合同</t>
  </si>
  <si>
    <t>山西省太原高速公路片区中心机电系统易址改造工程施工招标代理合同</t>
  </si>
  <si>
    <t>2012年北京市市管城市道路、桥梁检测项目委托招标代理合同</t>
  </si>
  <si>
    <t>检测</t>
  </si>
  <si>
    <t>房屋租赁协议（阳左项目）</t>
  </si>
  <si>
    <t>山西省新纪元交通建设工程招标有限公司</t>
  </si>
  <si>
    <t>房屋租赁</t>
  </si>
  <si>
    <t>唐山市滨海大道工程（海港开发区至曹妃甸段）权益转让招标代理合同</t>
  </si>
  <si>
    <t>河北省唐山市曹妃甸区交通运输局</t>
  </si>
  <si>
    <t>权益转让</t>
  </si>
  <si>
    <t>河南省2012年干线公路第一批大修改造项目南阳市S335棠西线淅川县王家至香花街南大修工程施工招标代理合同</t>
  </si>
  <si>
    <t>河南省淅川县公路管理局</t>
  </si>
  <si>
    <t>山西省晋中高速公路片区管理中心机电系统建设项目招标代理合同</t>
  </si>
  <si>
    <t>山西省祁临高速公路有限责任公司</t>
  </si>
  <si>
    <t>山西省晋中高速公路片区管理中心房建工程施工和监理招标代理合同</t>
  </si>
  <si>
    <t>施工及监理</t>
  </si>
  <si>
    <t>七北路（八达岭高速公路-京承高速公路）道路工程项目招标代理合同</t>
  </si>
  <si>
    <t>北京市交通委员会路政局昌平公路分局</t>
  </si>
  <si>
    <t>顺义区左堤路（河南村闸桥-杨燕辅路）改建工程招标代理协议</t>
  </si>
  <si>
    <t>北京市交通委员会政局顺义公路分局</t>
  </si>
  <si>
    <t>山西省天镇至大同等十七条高速公路项目建设BOT、BT投资从招标代理合同（天镇-大同、朔州环线西南段、繁峙-原平大营、神池-河曲、忻州环城、阳泉环城、阳泉-左权、太佳黄河大桥、吕梁环城、祁临高速临汾北段、原平大营-神池、左权-黎城、吉县-河津、临猗黄河大桥、运城三门峡公铁黄河大桥及连接线、高平-沁水、忻州-保德）</t>
  </si>
  <si>
    <t>山西省交通运输厅重点公路工程建设办公室</t>
  </si>
  <si>
    <t>BT、BOT投资人招标</t>
  </si>
  <si>
    <t>山西省西纵高速公路右玉至平鲁段等十一条高速公路项目建设BOT、BT投资从招标代理合同（右玉-平鲁、繁峙-五台、神池-岢岚、离石-隰县、隰县-吉县、黎城-霍州、安泽-沁水、阳城-蟒河、古店-王官屯、肥村-陈庄段、垣曲-渑池）</t>
  </si>
  <si>
    <t>霍州至永和关高速公路东段连接线、右玉至平鲁高速公路、临猗黄河大桥及运城至灵宝高速公路芮宝黄河大桥勘察设计招标代理合同</t>
  </si>
  <si>
    <t>国道109线右玉县城过境改线工程招标代理合同</t>
  </si>
  <si>
    <t>高平至沁水高速公路勘察设计招标</t>
  </si>
  <si>
    <t>长邱线改建工程（329国道连接线）慈溪段（土建工程）招标代理合同</t>
  </si>
  <si>
    <t>长邱线（慈溪段）改建工程建设指挥部</t>
  </si>
  <si>
    <t>山西省榆次龙白至祁县城赵高速公路项目招标代理合同</t>
  </si>
  <si>
    <t>晋中龙城高速公路有限责任公司</t>
  </si>
  <si>
    <t>勘察设计、施工、监理及材料设备采购</t>
  </si>
  <si>
    <t>贵州省公路局高速公路监控、绿化、机电交通安全设施和房建工程施工及施工监理招标代理合同（注：该合同一份建委、一份税务）</t>
  </si>
  <si>
    <t>贵州省公路局</t>
  </si>
  <si>
    <t>贵州省公路局贵阳至安顺高速公路建设项目勘察设计、工程施工及施工监理招标代理合同</t>
  </si>
  <si>
    <t>勘察设计、施工、监理</t>
  </si>
  <si>
    <t>北京市五环路日常养护工程施工监理招标代理协议</t>
  </si>
  <si>
    <t>北京市交通委员会路政局</t>
  </si>
  <si>
    <t>监理</t>
  </si>
  <si>
    <t>黑龙江省齐泰公路工程量清单编制合同一</t>
  </si>
  <si>
    <t>黑龙江省齐泰公路工程建设指挥部</t>
  </si>
  <si>
    <t>黑龙江省齐泰公路工程量清单编制合同二</t>
  </si>
  <si>
    <t>四川省巴中至万源高速公路项目BOT投资人招标代理合同</t>
  </si>
  <si>
    <t>巴中市交通建设领导小组办公室</t>
  </si>
  <si>
    <t>BOT投资人招标</t>
  </si>
  <si>
    <t>灵河高速（原神段）招标代理合同</t>
  </si>
  <si>
    <t>灵河高速公路(原神段）招标代理合同</t>
  </si>
  <si>
    <t>施工、监理及材料设备采购</t>
  </si>
  <si>
    <t>S321寿济线邹平桓台界至邹平章丘界段改建工程项目招标代理合同</t>
  </si>
  <si>
    <t>滨州市公路管理局</t>
  </si>
  <si>
    <t>三门湾大桥及接线工程招标咨询服务委托合同</t>
  </si>
  <si>
    <t>宁波三门湾大桥开发有限公司</t>
  </si>
  <si>
    <t>施工、监理及材料设备采购、保险、监测、技术规范</t>
  </si>
  <si>
    <t>首都机场高速公路四元立交8匝、11匝等桥梁人行道栏杆更换处治工程和11匝局部桥面处治翻修工程招标委托代理合同</t>
  </si>
  <si>
    <t>北京首都高速公路发展有限公司</t>
  </si>
  <si>
    <t>顺义区平南线七分干渠桥改建工程招标代理协议</t>
  </si>
  <si>
    <t>北京市交通委员会路政局顺义公路分局</t>
  </si>
  <si>
    <t>顺义区裕安路北延线工程招标代理协议</t>
  </si>
  <si>
    <t>顺义区顺平南线（K0+000~K2+730)大修工程招标代理协议</t>
  </si>
  <si>
    <t>孝义西泉至交口石口一级公路工程勘察设计招标代理合同</t>
  </si>
  <si>
    <t>吕梁晋昌公路开发有限公司</t>
  </si>
  <si>
    <t>新国道太克线临县苗家庄至梁家会段升级改造工程勘察设计招标代理合同</t>
  </si>
  <si>
    <t>宜昌至张家界高速公路白洋长江公路大桥项目招标代理合同</t>
  </si>
  <si>
    <t>施工、监理、材料设备采购、勘察设计、工程咨询</t>
  </si>
  <si>
    <t>棋盘洲长江公路大桥项目勘察设计招标代理合同</t>
  </si>
  <si>
    <t>监利至江陵高速公路项目招标代理合同</t>
  </si>
  <si>
    <t>青海省西宁市及周边地区高速公路通信管道及传输光缆改造维修工程招标代理合同</t>
  </si>
  <si>
    <t>青海省高等级公路建设管理局</t>
  </si>
  <si>
    <t>丹东～拉萨国道干线青海境内马场垣至平安高速马场垣主线收费站停车区改扩建工程土建和房建工程施工及监理招标代理及造价咨询合同</t>
  </si>
  <si>
    <t>阿（岱）至李（家峡）高速公路出口道路拓宽改造工程施工招标代理及造价咨询合同</t>
  </si>
  <si>
    <t>西宁市生物科技产车园区海湖路北延长段道路工程（青大路至泉湾路段）土建工程施工招标代理合同及造价咨询合同）</t>
  </si>
  <si>
    <t>省道虎山线蓿麻沟至岱丘段路面改造工程勘察设计、施工及监理招标代理合同</t>
  </si>
  <si>
    <t>山西省公路局朔州分局</t>
  </si>
  <si>
    <t>施工、监理、勘察设计</t>
  </si>
  <si>
    <t>京新高速公路韩家营至呼和浩特公路韩家营至集宁段机电、交安、收费大栅工程施工及施工监理招标委托招标代理合同</t>
  </si>
  <si>
    <t>内蒙古高等级公路建设开发有限责任公司</t>
  </si>
  <si>
    <t>莘县至南乐（鲁豫界）公路勘察设计招标代理合同书</t>
  </si>
  <si>
    <t>蓬莱至栖霞公路勘察设计招标代理合同书</t>
  </si>
  <si>
    <t>德商公路德州（鲁冀界）至夏津段施工、监理服务资格预审招标代理合同</t>
  </si>
  <si>
    <t>德州市德商高速公路项目建设管理办公室</t>
  </si>
  <si>
    <t>施工、监理资审</t>
  </si>
  <si>
    <t>德商公路德州（鲁冀界）至夏津段施工、监理服务招标阶段代理合同</t>
  </si>
  <si>
    <t>青海省化隆县城至群科新区公路（尕麻甫至木哈村段）工程招标代理合同</t>
  </si>
  <si>
    <t>京藏高速马场垣至西宁段服务区清洁能源和水资源循环利用试点工程招标代理合同</t>
  </si>
  <si>
    <t>青海省部分高等级公路桥梁检测项目技术服务项目招标代理合同</t>
  </si>
  <si>
    <t>青海省牙什尕至同仁、西宁南绕城高速环境保护监理招标招标代理合同</t>
  </si>
  <si>
    <t>2013年度高速公路机电工程备品备件及民和、乐都收费站计重设备采购招标代理合同</t>
  </si>
  <si>
    <t>采购</t>
  </si>
  <si>
    <t>青海省部分公路标志增设工程及部分收费站供配电设施维修工程招标代理合同</t>
  </si>
  <si>
    <t>贵州省凯里至雷山高速公路招标项目招标代理合同</t>
  </si>
  <si>
    <t>贵州高速公路开发总公司</t>
  </si>
  <si>
    <t>施工、监理、实验检测</t>
  </si>
  <si>
    <t>贵州省三穗至黎平高速公路第一批招标项目招标代理合同</t>
  </si>
  <si>
    <t>施工、监理、货物</t>
  </si>
  <si>
    <t>贵州省惠水至罗甸高速公路第一批招标项目招标代理合同</t>
  </si>
  <si>
    <t>贵州省望谟至安龙高速公路第一批招标项目招标代理合同</t>
  </si>
  <si>
    <t>贵州省云峰等七对服务区改造工程设计施工总承包及监理招标项目招标代理合同</t>
  </si>
  <si>
    <t>贵州省德江至习水高速公路德江至务川段项目勘察设计、工程施工及监理招标代理合同</t>
  </si>
  <si>
    <t>G60（贵州境、玉凯段）K1535+707～K1581+000段（不含隧道路面）沥青路面维修工程施工招标代理合同</t>
  </si>
  <si>
    <t>贵州高速公路集团有限公司</t>
  </si>
  <si>
    <t>贵州省大龙等八座收费站改扩建及天极改造工程设计施工总承包及监理招标代理合同</t>
  </si>
  <si>
    <t>贵州省高速公路中修、大修养护工程招标项目代理合同</t>
  </si>
  <si>
    <t>沪昆高速（贵新段）马场坪收费站改扩建工程施工招标代理合同</t>
  </si>
  <si>
    <t>G60（贵州境、玉凯段）K1639+000～K1670+000段（不含隧道路面）沥青路面维修工程施工招标代理合同</t>
  </si>
  <si>
    <t>G75（贵州境、崇遵段）K1106+000～K1223+720沥青混凝土路面（不含隧道路面）维修工程施工及施工监理招标代理合同</t>
  </si>
  <si>
    <t>贵州省贵毕扎佐收费站改扩建工程施工招标代理合同</t>
  </si>
  <si>
    <t>G60及G75高速公路贵新段大干沟等十座桥梁维修工程招标代理合同</t>
  </si>
  <si>
    <t>曹家堡临空综合经济园区南北道路连接线工程招标代理合同</t>
  </si>
  <si>
    <t>贵州省望谟至安龙高速公路第二批招标项目招标代理合同</t>
  </si>
  <si>
    <t>施工、监理、监控</t>
  </si>
  <si>
    <t>贵州省三穗至黎平高速公路第二批招标项目招标代理合同</t>
  </si>
  <si>
    <t>贵州省贵阳东北线城高速公路尖坡至小碧段路基桥隧等招标项目招标代理合同</t>
  </si>
  <si>
    <t>施工、监理、实验中心</t>
  </si>
  <si>
    <t>贵州省惠水至罗甸高速公路第二批招标项目招标代理合同</t>
  </si>
  <si>
    <t>兰海高速遵义至贵阳段扩容工程（青山至羊昌段）勘察设计招标招标代理合同</t>
  </si>
  <si>
    <t>首都机场高速公路四元立交8匝、11匝抗倾覆加固工程、四元立交8匝和9匝桥面摊铺改造工程及主路路面中修工程施工招标委托代理合同</t>
  </si>
  <si>
    <t>北京首都机场高速公路发展有限公司</t>
  </si>
  <si>
    <t>银川至龙邦公路贵州境惠水至罗甸（黔桂界）段高速公路工程勘察设计第1合同段技术服务合同</t>
  </si>
  <si>
    <t>中国公路工程咨询集团有限公司</t>
  </si>
  <si>
    <t>海南省中线琼中至五指山至三亚(乐东）段高速公路、横线万宁至儋州至洋浦高速公路第5标段勘察设计技术服务合同</t>
  </si>
  <si>
    <t>青银高速公路银川至宁东段改扩建工程N2标段勘察设计技术服务合同</t>
  </si>
  <si>
    <t>中交公路规划设计院有限公司</t>
  </si>
  <si>
    <t>南昌至宁都高速公路冈上至宁都SJ3合同段勘察设计招标技术服务合同</t>
  </si>
  <si>
    <t>门头沟区鲁坨路（京原公路旧路～鲁家山生物质能源厂产）道路工程建设-移交（BT）招标前期技术咨询合同</t>
  </si>
  <si>
    <t>北京市七环工程技术咨询有限责任公司</t>
  </si>
  <si>
    <t>北京海德国际认证有限公司管理体系认证合同（ISO）</t>
  </si>
  <si>
    <t>北京海德国际认证有限公司</t>
  </si>
  <si>
    <t>山西省黎城（冀晋界）至长治公路改扩建工程路基、桥涵、隧道、结构物加固工程</t>
  </si>
  <si>
    <t>北京中交工程咨询有限公司</t>
  </si>
  <si>
    <t>贵州省余庆至安龙高速公路平塘至罗甸段项目勘察设计、工程施工及施工监理招标代理合同</t>
  </si>
  <si>
    <t>青海省海西地区收费站站区围护工程招标代理合同</t>
  </si>
  <si>
    <t>青海省牙什尕至同仁高速公路黄南路政管理设施工程招标招标代理合同</t>
  </si>
  <si>
    <t>青海省新建及改造治超站、西宁周边及海西地区高等级公路及入口治超劝返站项目招标代理合同</t>
  </si>
  <si>
    <t>青海省国家高速北京至拉萨线西宁南绕城公路工程机电工程施工监理服务项目招标代理合同</t>
  </si>
  <si>
    <t>化隆县群科新区滨河路延伸段、安居路延伸段及新区大道延伸段工程招标代理合同</t>
  </si>
  <si>
    <t>ZTC招标管理软件开发合同</t>
  </si>
  <si>
    <t>中国普天信息产业股份有限公司</t>
  </si>
  <si>
    <t>软件管理</t>
  </si>
  <si>
    <t>京藏高速公路青海省马场垣服务区绿化工程招标代理合同</t>
  </si>
  <si>
    <t>绿化</t>
  </si>
  <si>
    <t>青海省西宁至塔尔寺高速公路改扩建工程（园树互通立交A、B匝道）施工招标代理合同</t>
  </si>
  <si>
    <t>马场垣匝道收费站宿舍楼、乐都服务区改造工程及青海省德香高速公路德令哈养护工区管理设施工程施工招标代理合同</t>
  </si>
  <si>
    <t>国道315线湟源至西海公路二期工程湟源县大华镇过境段非机动车道及城北西路延长段招标代理合同</t>
  </si>
  <si>
    <t>青海省高等级公路机电系统维修工程施工及2014年度高等级公路机电工程备品备件采购招标代理合同</t>
  </si>
  <si>
    <t>设备</t>
  </si>
  <si>
    <t>青海省治多经杂多至囊谦公路沥青采购招标代理合同</t>
  </si>
  <si>
    <t>青海省公路建设管理局</t>
  </si>
  <si>
    <t>材料</t>
  </si>
  <si>
    <t>北京市京平高速公路2014年维修工程项目委托代理合同</t>
  </si>
  <si>
    <t>北京市路政局道路建设工程项目管理中心</t>
  </si>
  <si>
    <t>湖北省棋盘洲长江公路大桥项目招标代理合同</t>
  </si>
  <si>
    <t>施工、监理、材料、咨询</t>
  </si>
  <si>
    <t>四川省巴中至万源高速公路项目招标代理合同</t>
  </si>
  <si>
    <t>四川巴万高速公路有限公司</t>
  </si>
  <si>
    <t>施工、监理、材料</t>
  </si>
  <si>
    <t>太原高速公路有限公司路面维修自治工程招标代理合同</t>
  </si>
  <si>
    <t>山西省集中连片特困地区省道洪永线车家坡至岔口段改建工程招标代理合同</t>
  </si>
  <si>
    <t>山西省公路局临汾分局</t>
  </si>
  <si>
    <t>吉县至河津高速公路公路工程材料采购招标最高限价编制合同</t>
  </si>
  <si>
    <t>山西路博交通经济技术咨询有限公司</t>
  </si>
  <si>
    <t>吉县至河津高速公路公路工程施工招标最高限价编制合同</t>
  </si>
  <si>
    <t>吉县至河津高速公路机电工程建设工程造价咨询合同</t>
  </si>
  <si>
    <t>山西建伟工程造价咨询有限公司第一分公司</t>
  </si>
  <si>
    <t>盂榆线寿阳境内晋中阳泉界至中曲段水毁恢复及改造工程招标代理合同</t>
  </si>
  <si>
    <t>山西省公路局晋中分局</t>
  </si>
  <si>
    <t>勘察设计、施工、监理、材料</t>
  </si>
  <si>
    <t>太原至祁县高速公路晋祠高架桥加固等三项工程招标代理合同协议书</t>
  </si>
  <si>
    <t>国道209线偏关堡子湾至五寨三岔段公路改建工程招标代理合同</t>
  </si>
  <si>
    <t>国道209线偏关堡子湾至五寨三岔段公路改建工程项目部</t>
  </si>
  <si>
    <t>山西省高速公路不停车收费系统（二期工程）机电工程施工、施工监理及设备采购委托招标代理合同</t>
  </si>
  <si>
    <t>三门湾大桥及接线工程招标代理服务委托合同补充协议书</t>
  </si>
  <si>
    <t>辽宁中部环线高速公路铁岭至本溪段项目路基、桥隧工程施工招标咨询服务委托合同</t>
  </si>
  <si>
    <t>辽宁省高等级公路建设局</t>
  </si>
  <si>
    <t>BOT建设模式培训合同</t>
  </si>
  <si>
    <t>山西省公路局</t>
  </si>
  <si>
    <t>青海省道102线西宁绕城环线大通经湟中至平安段公路工程招标代理合同</t>
  </si>
  <si>
    <t>青海省茶格、香花高速公路机电、交安、绿化、房建等附属工程招标代理合同</t>
  </si>
  <si>
    <t>黑龙江省国道黑河至大连公路青冈（杜家店）至兰西段改扩建工程项目招标代理合同</t>
  </si>
  <si>
    <t>黑大公路宝泉至兰西段改扩建工程建设指挥部</t>
  </si>
  <si>
    <t>黑龙江省国道国黑河至大连公路拜泉明水界至青冈（杜家店）段改扩建工程项目招标代理合同</t>
  </si>
  <si>
    <t>黑龙江省北安至富裕高速公路北安至古城段工程建设项目招标代理合同</t>
  </si>
  <si>
    <t>北安至富裕高速公路工程建设指挥部</t>
  </si>
  <si>
    <t>施工、监理、检测</t>
  </si>
  <si>
    <t>黑龙江省北安至富裕高速公路古城至富裕段工程建设项目招标代理合同</t>
  </si>
  <si>
    <t>山西省108国道霍州退沙至侯马凤城一级公路路面改造工程勘察设计招标</t>
  </si>
  <si>
    <t>青海省牙什尕至同仁段公路招标代理合同</t>
  </si>
  <si>
    <t>房建、机电、沥青</t>
  </si>
  <si>
    <t>青海省德令哈至香日德公路项目招标代理合同</t>
  </si>
  <si>
    <t>路面、交安、绿化、机电、房建、材料、设备</t>
  </si>
  <si>
    <t>青海省京西藏高速(G6）青海马场垣主线收费站改扩建工程招标代理合同</t>
  </si>
  <si>
    <t>房建、机电</t>
  </si>
  <si>
    <t>山东省德商公路德州（鲁冀界）至夏津段机电工程施工及监理招标代理合同</t>
  </si>
  <si>
    <t>机电</t>
  </si>
  <si>
    <t>山东省德商公路聊城至范县（鲁豫界）段机电工程施工及监理招标代理合同</t>
  </si>
  <si>
    <t>山东省德商高速公路聊城至范县段项目建设办公室</t>
  </si>
  <si>
    <t>青海省省道102线西宁绕城环线平安经互助至大通道公路工程A标段施工招标代理合同</t>
  </si>
  <si>
    <t>新疆交通建设管理局2015年第2批次公路工程建设项目招标代理机构代理合同G30、G315、G219、G218、G312（仅一份）</t>
  </si>
  <si>
    <t>新疆交通建设管理局</t>
  </si>
  <si>
    <t>勘设、施工、监理</t>
  </si>
  <si>
    <t>招商局集团管理范围内的工程建设项目招标合作协议书</t>
  </si>
  <si>
    <t>中国交通进出口总公司</t>
  </si>
  <si>
    <t>国家重点公路建设项目（2016年度第一批）初步设计审批技术咨询服务</t>
  </si>
  <si>
    <t>交通运输部公路局</t>
  </si>
  <si>
    <t>初步设计审批</t>
  </si>
  <si>
    <t>山西省临汾至吉县代理合同补充协议（标书款5：5）</t>
  </si>
  <si>
    <t>山西省临汾至吉县代理合同补充协议（代理费3：7）</t>
  </si>
  <si>
    <t>新疆公路管理局2016年公路养护项目第五合同包（阿勒泰、奎屯、石河子三个地区）招标代理机构服务合同</t>
  </si>
  <si>
    <t>新疆公路管理局</t>
  </si>
  <si>
    <t>工程、服务、货物</t>
  </si>
  <si>
    <t>深圳港妈湾港区海星码头1#--4#泊位改造工程水工结构施工图设计文件审查咨询项目招标代理服务委托合同书</t>
  </si>
  <si>
    <t>深圳海星港口发展有限公司</t>
  </si>
  <si>
    <t>国家重点公路建设项目（2016年度第二批）初步设计审批技术咨询服务</t>
  </si>
  <si>
    <t>国家重点公路建设项目（2016年度第三批）初步设计审批技术咨询服务</t>
  </si>
  <si>
    <t>国家重点公路建设项目（2016年度第四批）初步设计审批技术咨询服务</t>
  </si>
  <si>
    <t>黑龙江省国道三莫公路长汀至双峰（雪乡）段改扩建工程建设项目招标代理合同</t>
  </si>
  <si>
    <t>国道三莫公路长汀至双峰段改扩建工程建设指挥部</t>
  </si>
  <si>
    <t>土建、交安、房建、监理、实验检测机构</t>
  </si>
  <si>
    <t>青海省省道102线西宁绕城环线大通经湟中至平安段公路工程路基、路面、防护、桥涵、隧道等工程施工及监理招标代理补充协议书</t>
  </si>
  <si>
    <t>青海省茶格、香花高速公路机电、交安、绿化、房建等附属工程施工及监理招标代理补充委托协议书-01</t>
  </si>
  <si>
    <t>青海省茶格、香花高速公路机电、交安、绿化、房建等附属工程施工及监理招标代理补充委托协议书-02</t>
  </si>
  <si>
    <t>青海省西宁至塔尔寺高速公路改扩建工程机电工程施工及施工监理招标代理合同</t>
  </si>
  <si>
    <t>青海省G572贵南至乌兰公路贵南（黄沙头）至三塔拉公路招标代理合同</t>
  </si>
  <si>
    <t>青海省收费公路管理处</t>
  </si>
  <si>
    <t>代建人</t>
  </si>
  <si>
    <t>新疆公路管理局2016年公路养护项目第五合同包（阿勒泰、奎屯、石河子三个地区）招标代理机构服务合同补充协议</t>
  </si>
  <si>
    <t>新疆维吾尔自治区公路管理局</t>
  </si>
  <si>
    <t>山西省国道108线神堂堡至砂河段公路项目BOT投资人招标代理合同</t>
  </si>
  <si>
    <t>山西省公路局忻州公路分局</t>
  </si>
  <si>
    <t>投资人</t>
  </si>
  <si>
    <t>京津塘高速公路2016年（天津、北京段）维修加固工程项目招标代理委托合同</t>
  </si>
  <si>
    <t>华北高速公路股份有限公司</t>
  </si>
  <si>
    <t xml:space="preserve"> </t>
  </si>
  <si>
    <t>国道黑河至大连公路宝泉至克东拜泉界（滕家围子）段改扩建工程项目招标代理合同</t>
  </si>
  <si>
    <t>国道黑河至大连公路宝泉至克东拜泉界（滕家围子）段、克东拜泉界（滕家围子）至拜泉明水界段改扩建工程项目附属工程招标代理合同</t>
  </si>
  <si>
    <t>北安至富裕高速公路古城至富裕段工程建设项目附属工程招标代理合同</t>
  </si>
  <si>
    <t>北安至富裕高速公路古城至富裕段工程建设项目附属工程招标代理合同补充协议</t>
  </si>
  <si>
    <t>北安至富裕高速公路北安至古城段工程建设项目附属工程招标代理合同</t>
  </si>
  <si>
    <t>黑河--布拉戈维申斯克黑龙江（阿穆尔河）公路大桥工程建设项目招标代理合同</t>
  </si>
  <si>
    <t>黑龙江省黑龙江大桥开发建设有限责任公司</t>
  </si>
  <si>
    <t>贵州省六盘水至威宁（黔滇界）公路混凝土小型预制构件集中预制构件集中预制工程招标代理合同</t>
  </si>
  <si>
    <t>贵州省六盘水至威宁（黔滇界）公路路基边坡绿化工程施招标代理合同</t>
  </si>
  <si>
    <t>贵州省六盘水至威宁（黔滇界）公路桥梁梁体（含刚构节段）检测、隧道施工监控量测及检测服务招标代理合同</t>
  </si>
  <si>
    <t>监控</t>
  </si>
  <si>
    <t>贵州省六盘水至威宁（黔滇界）公路甲供材料（型钢三期）采购招标代理合同</t>
  </si>
  <si>
    <t>贵州省六盘水至威宁（黔滇界）公路瓦斯隧道瓦斯监控与咨询及揭煤防突技术咨询服务招标代理合同</t>
  </si>
  <si>
    <t>监控、咨询</t>
  </si>
  <si>
    <t>贵州省遵义至贵阳公路扩容工程青山至羊昌段混凝土小型预制构件集中预制工程招标代理合同</t>
  </si>
  <si>
    <t>国家重点公路建设项目（2016年度第五批）初步设计审批技术咨询服务项目委托招标代理合同</t>
  </si>
  <si>
    <t>技术咨询</t>
  </si>
  <si>
    <t>枣阳至潜江高速公路荆门北段招标代理合同</t>
  </si>
  <si>
    <t>湖北交投荆门北高速公路有限公司</t>
  </si>
  <si>
    <t>施工、监理、服务咨询、设备采购</t>
  </si>
  <si>
    <t>南海意库梦工场大厦办公区装修设计施工总承包招标代理服务</t>
  </si>
  <si>
    <t>深圳金哉融泰投资发展有限公司</t>
  </si>
  <si>
    <t>北安至富裕高速公路北安至古城段工程建设项目附属工程招标代理合同补充协议</t>
  </si>
  <si>
    <t>贵州省六盘水至威宁（黔滇界）公路梁体（含刚构节段）检测、隧道施工监控量测及检测服务造价咨询合同</t>
  </si>
  <si>
    <t>贵州富通工程咨询有限公司</t>
  </si>
  <si>
    <t>贵州省六盘水至威宁（黔滇界）公路瓦斯隧道瓦斯监控与咨询及揭煤防突技术咨询服务造价咨询合同</t>
  </si>
  <si>
    <t>贵州省六盘水至威宁（黔滇界）公路混凝土小型预制构件集中预制工程施工招标第LWYZ-1合同段造价咨询合同</t>
  </si>
  <si>
    <t>贵州省六盘水至威宁（黔滇界）公路混凝土小型预制构件集中预制工程施工招标第LWYZ-2合同段造价咨询合同</t>
  </si>
  <si>
    <t>贵州省六盘水至威宁（黔滇界）公路混凝土小型预制构件集中预制工程施工招标第LWYZ-3合同段造价咨询合同</t>
  </si>
  <si>
    <t>贵州省六盘水至威宁（黔滇界）公路混凝土小型预制构件集中预制工程施工招标第LWYZ-4合同段造价咨询合同</t>
  </si>
  <si>
    <t>贵州省六盘水至威宁（黔滇界）公路路基边坡绿化工程施工招标第1合同段造价咨询合同</t>
  </si>
  <si>
    <t>贵州省六盘水至威宁（黔滇界）公路路基边坡绿化工程施工招标第2合同段造价咨询合同</t>
  </si>
  <si>
    <t>贵州省六盘水至威宁（黔滇界）公路路基边坡绿化工程施工招标第3合同段造价咨询合同</t>
  </si>
  <si>
    <t>贵州省六盘水至威宁（黔滇界）公路路基边坡绿化工程施工招标第4合同段造价咨询合同</t>
  </si>
  <si>
    <t>贵州省遵义至贵阳公路扩容工程桥面、隧道路面防水层工程造价咨询合同</t>
  </si>
  <si>
    <t>贵州省遵义至贵阳公路扩容工程青山至羊昌段羊昌互通立交工程造价咨询合同</t>
  </si>
  <si>
    <t>贵州省遵义至贵阳公路扩容工程青山至羊昌段混凝土小型预制构件集中预制工程第20合同段造价咨询合同</t>
  </si>
  <si>
    <t>贵州省遵义至贵阳公路扩容工程青山至羊昌段混凝土小型预制构件集中预制工程第21合同段造价咨询合同</t>
  </si>
  <si>
    <t>山西省太原东二环高速公路项目建设BOT投资人招标代理合同</t>
  </si>
  <si>
    <t>山东省齐鲁发展集团有限公司服装制作采购项目招标代理合同</t>
  </si>
  <si>
    <t>齐鲁交通发展集团有限公司人力咨源部</t>
  </si>
  <si>
    <t>山东省齐鲁发展集团有限公司招标代理机构入库项目协议书</t>
  </si>
  <si>
    <t>齐鲁交通发展集团有限公司</t>
  </si>
  <si>
    <t>入库协议</t>
  </si>
  <si>
    <t>贵安新区东纵线南二段道路工程石油沥青采购招标第LQ2015-1标段代理合同</t>
  </si>
  <si>
    <t>贵州贵安建设投资有限公司</t>
  </si>
  <si>
    <t>材料采购</t>
  </si>
  <si>
    <t>贵安新区东纵线南二段道路工程石油沥青采购招标第LQ2015-2标段代理合同</t>
  </si>
  <si>
    <t>贵安新区东纵线南二段道路工程石油沥青采购招标第LQ2015-3标段代理合同</t>
  </si>
  <si>
    <t>贵安新区黔中大道（三期）道路工程施工招标第六合同段（交通安全设施工程）代理合同</t>
  </si>
  <si>
    <t>贵安新区东纵线南二段道路工程施工招标第七合同段（交通安全设施工程）代理合同</t>
  </si>
  <si>
    <t>贵安新区西纵线南二段道路工程施工招标第八合同段（交通安全设施工程）代理合同</t>
  </si>
  <si>
    <t>贵安新区规划建筑艺术馆建设项目监理代理合同</t>
  </si>
  <si>
    <t>贵安新区规划建筑艺术馆建设项目设计总承包招标代理合同</t>
  </si>
  <si>
    <t>设计、总承包</t>
  </si>
  <si>
    <t>云南省高速公路项目建设招标代理库入库协议</t>
  </si>
  <si>
    <t>云南省交通运输厅</t>
  </si>
  <si>
    <t>云南省高速公路项目招标</t>
  </si>
  <si>
    <t>王淑波</t>
  </si>
  <si>
    <t>无</t>
  </si>
  <si>
    <t>山西省政府采购项目阳左高速型煤采购项目委托代理协议（仅一份）</t>
  </si>
  <si>
    <t>阳左高速型煤采购</t>
  </si>
  <si>
    <t>山西省政府采购项目阳左高速2015年度电力线路设备维护检测采购项目委托代理协议（仅一份）</t>
  </si>
  <si>
    <t>阳左高速2015年度电力线路设备维护检测采购</t>
  </si>
  <si>
    <t>潜江至石首高速公路潜江至江陵段项目招标代理合同补充合同</t>
  </si>
  <si>
    <t>湖北交投荆潜高速公路建设指挥部</t>
  </si>
  <si>
    <t>负责对一期土建、二期路面工程项目的专用条款、技术规范中计量与支付条款进行编制及咨询服务，接受甲级及上级行政主管部门对合同文件的审查；协助甲方组织合同谈判和澄清工作；协助甲方处理合同实施过程中出现的各类质疑、监督部门的审查、诉讼等事宜</t>
  </si>
  <si>
    <t>延庆至崇礼高速公路河北段招标委托代理协议书</t>
  </si>
  <si>
    <t>河北省高速公路管理局</t>
  </si>
  <si>
    <t>咨询、施工、监理、设备、材料采购</t>
  </si>
  <si>
    <t>1.YCBX3合同段主体工程（路基、路面、桥梁、隧道、交叉工程等)、交通安全设施、机电工程（含通信、监控、收费、供电照明等）施工以及与相关的重要设备、材料的采购和暂定金项目等及其他与本项目有关的招标代理工作；2.提供招标前期咨询；招标文件的发布；资格预审文件和招标文件（编制商务部分，对技术规范和工程量清单等进行汇总）的编制、印刷和发售；资格预审文件和投标文件的收取；组织资格预审申请文件、招标文件的评审等。</t>
  </si>
  <si>
    <t>杨文丁</t>
  </si>
  <si>
    <t>贵州省遵义至贵阳公路扩容工程（青山至羊昌段及羊昌互通）沥青采购招标代理合同</t>
  </si>
  <si>
    <t>沥青采购</t>
  </si>
  <si>
    <t>遵义至贵阳公路扩容工程（青山至羊昌段及羊昌互通）沥青采购（含委托有资质的单位进行工程量清单（如有）复核、最高投标限价（如有）的编制）</t>
  </si>
  <si>
    <t>李晓飞、房启军、李楠</t>
  </si>
  <si>
    <t>贵州省遵义至贵阳公路扩容工程（青山至羊昌段及羊昌互通）乌江特大桥及全线跨线桥景观涂装工程施工招标代理合同</t>
  </si>
  <si>
    <t>乌江特大桥及全线跨线桥景观涂装工程施工招标（含委托有资质的单位进行工程量清单（如有）复核、最高投标限价（如有）的编制）</t>
  </si>
  <si>
    <t>贵州省遵义至贵阳公路扩容工程（青山至羊昌段及羊昌互通）交通安全设施工程施工招标代理合同</t>
  </si>
  <si>
    <t>贵州省遵义至贵阳公路扩容工程交通安全设施工程施工招标，施工范围为标志、护栏、隔离栅、轮廓标、防眩设施、防落物网、里程碑和百米牌、声屏障等（含委托有资质的单位进行工程量清单（如有）复核、最高投标限价（如有）的编制）</t>
  </si>
  <si>
    <t>贵州省遵义至贵阳公路扩容工程（青山至羊昌段及羊昌互通）沿线房建、交安、景观绿化工程施工监理招标代理合同</t>
  </si>
  <si>
    <t>贵州省遵义至贵阳公路扩容工程（青山至羊昌段及羊昌互通）沿线房建、交安、景观绿化工程（不含边坡绿化、包括站房绿化）、乌江特大桥及全线景观涂装工程的施工监理和组建驻地监理试验室并承担相应的试验检测工作的招标（含委托有资质的单位进行工程量清单（如有）复核、最高投标限价（如有）的编制）</t>
  </si>
  <si>
    <t>贵州省江口至都格高速公路瓮安至开阳段初步设计招标代理合同</t>
  </si>
  <si>
    <t>初步设计</t>
  </si>
  <si>
    <t>贵州省江口至都格高速公路瓮安至开阳段初步设计招标（含委托有资质的单位进行工程量清单（如有）复核、最高投标限价（如有）的编制）</t>
  </si>
  <si>
    <t>贵州省威宁至围仗（黔滇界）高速公路初步设计招标代理合同</t>
  </si>
  <si>
    <t>贵州省威宁至围仗（黔滇界）高速公路初步设计招标（含委托有资质的单位进行工程量清单（如有）复核、最高投标限价（如有）的编制）</t>
  </si>
  <si>
    <t>贵州省遵义至贵阳公路扩容工程（青山至羊昌段及羊昌互通）机电工程（含隧道机电）施工监理招标代理合同</t>
  </si>
  <si>
    <t>贵州省遵义至贵阳公路扩容工程（青山至羊昌段及羊昌互通）机电工程（含隧道机电）施工监理招标（含委托有资质的单位进行工程量清单（如有）复核、最高投标限价（如有）的编制）</t>
  </si>
  <si>
    <t>贵州省遵义至贵阳公路扩容工程青山至羊昌段羊昌互通立交施工招标代理合同</t>
  </si>
  <si>
    <t>贵州省遵义至贵阳公路扩容工程青山至羊昌段羊昌互通立交施工项目（羊昌互通立交路基、桥涵、排水和防护等工程施工）招标（含委托有资质的单位进行工程量清单（如有）复核、最高投标限价（如有）的编制）</t>
  </si>
  <si>
    <t>李晓飞、王伟、李楠</t>
  </si>
  <si>
    <t>贵州省遵义至贵阳公路扩容工程（青山至羊昌段及羊昌互通）路面施工监理招标代理合同</t>
  </si>
  <si>
    <t>路面相关工程及桥梁伸缩缝、桥面与隧道工程防水层（含精铣刨）及混凝土小型预制构件集中预制的施工监理、组建驻地监理实验室并程度相应的试验检测工作及羊昌互通立交路基、桥涵、排水和防护等工程的施工监理工作（含委托有资质的单位进行工程量清单（如有）复核、最高投标限价（如有）的编制）</t>
  </si>
  <si>
    <t>贵州省遵义至贵阳公路扩容工程（青山至羊昌段及羊昌互通）单梁静载试验及桥梁预应力检测服务招标代理合同</t>
  </si>
  <si>
    <t>贵州省遵义至贵阳公路扩容工程（青山至羊昌段及羊昌互通）单梁静载试验及桥梁预应力检测服务招标（含委托有资质的单位进行工程量清单（如有）复核、最高投标限价（如有）的编制）</t>
  </si>
  <si>
    <t>贵州省遵义至贵阳公路扩容工程（青山至羊昌段及羊昌互通）房建工程施工招标代理合同</t>
  </si>
  <si>
    <t>沿线站点房屋建筑与装饰工程及安装工程、站区园建、收费天棚及供水工程等施工招标（含委托有资质的单位进行工程量清单（如有）复核、最高投标限价（如有）的编制）</t>
  </si>
  <si>
    <t>贵州省遵义至贵阳公路扩容工程（青山至羊昌段及羊昌互通）特殊路基施工监控与咨询服务招标代理合同</t>
  </si>
  <si>
    <t>贵州省遵义至贵阳公路扩容工程（青山至羊昌段及羊昌互通）特殊路基施工监控与咨询服务招标（含委托有资质的单位进行工程量清单（如有）复核、最高投标限价（如有）的编制）</t>
  </si>
  <si>
    <t>贵州省遵义至贵阳公路扩容工程青山至羊昌段桥面、隧道路面防水层施工招标代理合同</t>
  </si>
  <si>
    <t>贵州省遵义至贵阳公路扩容工程青山至羊昌段桥面、隧道路面防水层施工招标（含委托有资质的单位进行工程量清单（如有）复核、最高投标限价（如有）的编制）</t>
  </si>
  <si>
    <t>贵州省遵义至贵阳公路扩容工程（青山至李资段及羊昌互通）施工期水土保持监测招标代理合同</t>
  </si>
  <si>
    <t>监测</t>
  </si>
  <si>
    <t>贵州省遵义至贵阳公路扩容工程（青山至李资段及羊昌互通）施工期水土保持监测招标（含委托有资质的单位进行工程量清单（如有）复核、最高投标限价（如有）的编制）</t>
  </si>
  <si>
    <t>都匀至香格里拉高速公路（贵州境)都匀至安顺段勘察设计招标代理合同</t>
  </si>
  <si>
    <t>都匀至香格里拉高速公路（贵州境)都匀至安顺段主体工程及附属工程的勘察设计招标（含进行工程量清单（如有）复核、最高投标限价（如有）的编制）</t>
  </si>
  <si>
    <t>都匀至香格里拉高速公路（贵州境)都匀至安顺段工程地质勘察监理招标代理合同</t>
  </si>
  <si>
    <t>都匀至香格里拉高速公路（贵州境)都匀至安顺段工程地质勘察监理招标（含进行工程量清单（如有）复核、最高投标限价（如有）的编制）</t>
  </si>
  <si>
    <t>贵州省六盘水至威宁（黔滇界）公路甲供材料（钢绞线三期）招标代理合同</t>
  </si>
  <si>
    <t>公路甲供材料（钢绞线三期）招标（含进行工程量清单（如有）复核、最高投标限价（如有）的编制）</t>
  </si>
  <si>
    <t>贵州省遵义至贵阳公路扩容工程（青山至羊昌段及羊昌互通）单梁静载试验及桥梁预应力检测服务造价咨询合同</t>
  </si>
  <si>
    <t>贵州省遵义至贵阳公路扩容工程（青山至羊昌段及羊昌互通）房建工程施工招标造价咨询合同</t>
  </si>
  <si>
    <t>贵州省遵义至贵阳公路扩容工程（青山至羊昌段）乌江特大桥及全线跨线桥景观涂装工程造价咨询合同</t>
  </si>
  <si>
    <t>贵州省遵义至贵阳公路扩容工程（青山至羊昌段）特殊路基施工监控与咨询服务、施工期水土保持监测造价咨询合同</t>
  </si>
  <si>
    <t>贵州省遵义至贵阳公路扩容工程（青山至羊昌段）路面施工监理服务招标造价咨询合同</t>
  </si>
  <si>
    <t>国家重点公路建设项目（2016年度第六批）初步设计审批技术咨询服务项目招标代理合同</t>
  </si>
  <si>
    <t>国家重点公路建设项目（2016年度第六批）初步设计审批技术咨询服务项目招标</t>
  </si>
  <si>
    <t>国家重点公路建设项目（2016年度第七批）初步设计审批技术咨询服务项目招标代理合同</t>
  </si>
  <si>
    <t>国家重点公路建设项目（2016年度第七批）初步设计审批技术咨询服务项目招标</t>
  </si>
  <si>
    <t>山西省太原二环高速公路东环段（凌井店至龙白）勘察设计技术咨询服务招标代理合同协议书</t>
  </si>
  <si>
    <t>山西路桥东二环高速公路有限公司</t>
  </si>
  <si>
    <t>山西省太原二环高速公路东环段（凌井店至龙白）勘察设计技术咨询服务招标</t>
  </si>
  <si>
    <t>贵州省遵义至贵阳公路扩容工程（青山至羊昌段）及羊昌互通桥梁荷载试验、桥梁外观与实体检测及交（竣）工验收试验检测服务招标代理合同</t>
  </si>
  <si>
    <t>验收</t>
  </si>
  <si>
    <t>贵州省遵义至贵阳公路扩容工程（青山至羊昌段）及羊昌互通桥梁荷载试验、桥梁外观与实体检测及交（竣）工验收试验检测服务（含委托有资质的单位进行工程量清单（如有）复核、最高投标限价（如有）的编制）</t>
  </si>
  <si>
    <t>贵州省都匀至安顺公路边坡专项咨询服务招标代理合同</t>
  </si>
  <si>
    <t>贵州省都匀至安顺公路边坡专项咨询服务（标段内（设计及施工）所有临时工程边坡、路基边坡、桥梁基坑边坡、隧道进出口边仰坡的防护设计专项咨询及施工阶段的设计跟踪咨询、施工方案、施工过程咨询服务）招标（含委托有资质的单位进行工程量清单（如有）复核、最高投标限价（如有）的编制）</t>
  </si>
  <si>
    <t>贵州省都匀至安顺公路竣工文件咨询服务招标代理合同</t>
  </si>
  <si>
    <t>贵州省都匀至安顺公路竣工文件咨询服务招标代（含委托有资质的单位进行工程量清单（如有）复核、最高投标限价（如有）的编制）</t>
  </si>
  <si>
    <t>贵州省遵义至贵阳公路扩容工程（青山至羊昌段及羊昌互通）房建工程装饰装修设计施工总承包招标代理合同</t>
  </si>
  <si>
    <t>设计施工总承包</t>
  </si>
  <si>
    <t>贵州省遵义至贵阳公路扩容工程沿线站房站点及羊昌互通收费站装饰装修工程设计施工总承包招标（含委托有资质的单位进行工程量清单（如有）复核、最高投标限价（如有）的编制）</t>
  </si>
  <si>
    <t>贵州省遵义至贵阳公路扩容工程（青山至羊昌段及羊昌互通）机电工程施工招标代理合同</t>
  </si>
  <si>
    <t>贵州省遵义至贵阳公路扩容工程机电工程（含全线隧道机电工程）施工招标（含委托有资质的单位进行工程量清单（如有）复核、最高投标限价（如有）的编制）</t>
  </si>
  <si>
    <t>贵州省遵义至贵阳公路扩容工程（青山至羊昌段）及羊昌互通站房绿化工程施工招标代理合同</t>
  </si>
  <si>
    <t>贵州省遵义至贵阳公路扩容工程（青山至羊昌段）及羊昌互通站房绿化工程施工招标（含委托有资质的单位进行工程量清单（如有）复核、最高投标限价（如有）的编制）</t>
  </si>
  <si>
    <t>成都至遵义国家高速公路（贵州境）仁怀至遵义段项目招标代理合同</t>
  </si>
  <si>
    <t>贵州省公路开发有限责任公司</t>
  </si>
  <si>
    <t>成都至遵义国家高速公路（贵州境）仁怀至遵义段项目所有招标代理工作</t>
  </si>
  <si>
    <t>新疆维吾尔自治区交通建设管理局2017年度公路建设项目招标代理机构（第1批次）招标项目代理机构名录入库合同</t>
  </si>
  <si>
    <t>新疆维吾尔自治区交通建设管理局</t>
  </si>
  <si>
    <t>列入新疆维吾尔自治区交通建设管理局2017年度计划的公路建设项目的招标代理机构服务，包括工程类招标、服务类招标、货物招标（如需要）</t>
  </si>
  <si>
    <t>李晓飞、王淑波</t>
  </si>
  <si>
    <t>国家重点公路建设项目（2017年度第一批）初步设计审批技术咨询服务项目委托招标代理合同</t>
  </si>
  <si>
    <t>国家重点公路建设项目（2017年度第一批）初步设计审批技术咨询服务项目委托招标</t>
  </si>
  <si>
    <t>省道小风线临晋镇-永济段改线工程招标代理合同</t>
  </si>
  <si>
    <t>山西省交通局运城分局</t>
  </si>
  <si>
    <t>勘察设计、施工、监理、材料采购</t>
  </si>
  <si>
    <t>省道小风线临晋镇-永济段改线工程项目勘察设计、施工、监理、试验检测、重要设备、材料等的招标和采购代理服务；承担招标和采购项目的工程量清单复核、最高限价编制等工作；承担上述项目招标和采购工作的相关咨询服务</t>
  </si>
  <si>
    <t>袁希一</t>
  </si>
  <si>
    <t>首都机场高速公路2017年度地面标线施划工程项目施工招标代理合同</t>
  </si>
  <si>
    <t>首都机场高速公路2017年度地面标线施划工程项目施工招标</t>
  </si>
  <si>
    <t>李晓飞、魏超</t>
  </si>
  <si>
    <t>首都机场高速公路2017年部分路段沥青路面中修处治工程施工、桥梁维修处治工程施工招标代理合同</t>
  </si>
  <si>
    <t>首都机场高速公路2017年部分路段沥青路面中修处治工程施工、桥梁维修处治工程施工招标代</t>
  </si>
  <si>
    <t>闻喜东镇至垣曲蒲掌高速公路古城联络线项目招标代理合同</t>
  </si>
  <si>
    <t>山西绿地城投高速公路有限公司</t>
  </si>
  <si>
    <t>施工、监理、材料采购</t>
  </si>
  <si>
    <t>路基、路面、桥涵、隧道、交通安全设施工程、机电工程、绿化工程、房建施工及施工监理、重要设备材料采购等全过程招标代理工作</t>
  </si>
  <si>
    <t>宁波-舟山港石浦港区沈海高速连接线石浦至新桥段（石浦连接线）公路工整招标代理服务机构选取合同协议书</t>
  </si>
  <si>
    <t>宁波新石高速公路有限公司</t>
  </si>
  <si>
    <t>承担本项目工程类、交通工程及沿线设施、货物类、服务类（含施工监理、各类评估、检测、监测、保险等内容）等为本工程服务的所有招标代理工作以及工程量清单及预算、招标控制价编制等</t>
  </si>
  <si>
    <t>李光</t>
  </si>
  <si>
    <t>京沪高速公路莱芜至临沂（鲁苏界）段改扩建项目路桥工程施工及施工监理服务招标代理合同</t>
  </si>
  <si>
    <t>路桥工程施工及施工监理服务招标</t>
  </si>
  <si>
    <t>巴音郭楞蒙古自治州G0612若羌至民丰高速公路、G216轮台民丰公路及国有农林牧场道路项目政府和社会资本合作（PPP）前期咨询及招标代理合同</t>
  </si>
  <si>
    <t>巴音郭楞蒙古自治州交通运输局</t>
  </si>
  <si>
    <t>实施方案编制、物有所值评价报告编制、财政承受能力论证报告的编制及其他前期咨询服务；本项目全过程招标代理工作及后期投资协议、特许权协议的起草、谈判等工作</t>
  </si>
  <si>
    <t>李晓飞、杜晓雷、洪永道</t>
  </si>
  <si>
    <t>巴音郭楞蒙古自治州塔什店-上库工业园等六个项目（B项目包）政府和社会资本合作（PPP）前期咨询及招标代理合同</t>
  </si>
  <si>
    <t>巴音郭楞蒙古自治州S340哈尔莫墩至巴音郭楞等十个公路项目（C项目包）政府和社会资本合作（PPP）前期咨询及招标代理合同</t>
  </si>
  <si>
    <t>巴音郭楞蒙古自治州木那布拉克道班-卡子-吐拉牧场等五个公路项目政府和社会资本合作（PPP）前期咨询及招标代理合同</t>
  </si>
  <si>
    <t>太原二环高速公路东环段（凌井店至龙白）项目招标代理合同协议书</t>
  </si>
  <si>
    <t>本项目路基、路面、交通工程、机电工程、绿化工程施工监理招标；本项目房建工程、施工监理招标；电力改迁工程施工招标；需要招标的重要设备材料采购招标</t>
  </si>
  <si>
    <t>黑河--布拉戈维申斯克黑龙江（阿穆尔河）公路大桥工程建设项目招标代理合同补充协议</t>
  </si>
  <si>
    <t>黑河--布拉戈维申斯克黑龙江（阿穆尔河）公路大桥工程建设项目招标</t>
  </si>
  <si>
    <t>贵安新区规划建筑艺术馆建设项目勘察、采购施工（PC）总承包、设计（展陈工程）招标代理合同</t>
  </si>
  <si>
    <t>勘察、设计、施工总承包</t>
  </si>
  <si>
    <t>贵安新区规划建筑艺术馆建设项目勘察、采购施工（PC）总承包、设计（展陈工程）招标</t>
  </si>
  <si>
    <t>贵安新区西南粮食城配套路网工程勘察、设计招标代理合同</t>
  </si>
  <si>
    <t>勘察、设计</t>
  </si>
  <si>
    <t>贵安新区西南粮食城配套路网工程勘察、设计招标</t>
  </si>
  <si>
    <t>贵州省遵义至贵阳公路扩容工程（青山至羊昌段）沿线房建、交安、绿化、机电监理造价咨询合同文件</t>
  </si>
  <si>
    <t>贵州省遵义至贵阳公路扩容工程（青山至羊昌段）交安施工造价咨询合同文件</t>
  </si>
  <si>
    <t>贵州省遵义至贵阳公路扩容工程（青山至羊昌段）及羊昌互通桥梁荷载试验、桥梁外观与实体检测及交（竣）工验收试验检测服务造价咨询合同文件</t>
  </si>
  <si>
    <t>贵州省遵义至贵阳公路扩容工程（青山至羊昌互通）机电工程第30合同段造价咨询合同文件</t>
  </si>
  <si>
    <t>贵州省遵义至贵阳公路扩容工程（青山至羊昌段）及羊昌互通站房绿化工程施工招标造价咨询合同文件</t>
  </si>
  <si>
    <t>贵州省遵义至贵阳公路扩容工程（青山至羊昌段及羊昌互通）机电工程第31、32合同段造价咨询合同文件</t>
  </si>
  <si>
    <t>贵州省都匀至安顺公路边坡专项咨询服务、竣工文件咨询服务造价咨询合同文件</t>
  </si>
  <si>
    <t>贵州省都匀至安顺公路水土保持技术咨询（含验收调查）、环境保护技术咨询（含验收调查）服务造价咨询合同文件</t>
  </si>
  <si>
    <t>京昆国家高速公路太原绕城西北段改线工程（太原西北二环）高速公路项目招标代理合同协议书</t>
  </si>
  <si>
    <t>太原市交通运输局</t>
  </si>
  <si>
    <t>施工、监理、PPP</t>
  </si>
  <si>
    <t>承担本项目投资人、环评、水保、土地预审、报批、地质灾害评估、压覆矿产资源评估、勘察设计、监理、施工（如有）、重要材料设备（如有）全过程招标；承担本项目相关咨询、指政府与社会资本合作（PPP）实施方案、物有所值评价、财政承受能力论证（如有）的编制</t>
  </si>
  <si>
    <t>国家重点公路建设项目（2017年度第二批）初步设计审批技术咨询服务项目委托招标代理合同</t>
  </si>
  <si>
    <t>国家重点公路建设项目（2017年度第二批）初步设计审批技术咨询服务项目委托招标</t>
  </si>
  <si>
    <t>2017年京通辅路（高碑店桥--区界）等6项道路大个工程施工项目和监理项目招标代理协议</t>
  </si>
  <si>
    <t>编制、发售招标文件；发布招标公告；编制工程量清单、招标控制价；组织接收投标申请人报名；审查潜在投标人资格，确定潜在投标人；组织招、开、清、评标工作；提交评审汇总资料；草拟施工合同等</t>
  </si>
  <si>
    <t>房山区张坊镇千榆路工程招标代理补充合同</t>
  </si>
  <si>
    <t>北京市交通委员会路政局房山公路分局</t>
  </si>
  <si>
    <t>设计质量后评价服务</t>
  </si>
  <si>
    <t>本项目设计质量后评价服务招标</t>
  </si>
  <si>
    <t>不收费</t>
  </si>
  <si>
    <t>天北路北延（昌金路--桥梓镇政府西街）道路工程--怀柔段建设工程招标代理合同</t>
  </si>
  <si>
    <t>北京市交通委员会路政局怀柔公路分局</t>
  </si>
  <si>
    <t>土建工程招标</t>
  </si>
  <si>
    <t>魏超</t>
  </si>
  <si>
    <t>国家重点公路建设项目（2017年度第三批）初步设计审批技术咨询服务项目委托代理合同</t>
  </si>
  <si>
    <t>国家重点公路建设项目（2017年度第三批）初步设计审批技术咨询服务项目招标</t>
  </si>
  <si>
    <t>国家重点公路建设项目（2017年度第四批）初步设计审批技术咨询服务项目委托代理合同</t>
  </si>
  <si>
    <t>国家重点公路建设项目（2017年度第四批）初步设计审批技术咨询服务项目招标</t>
  </si>
  <si>
    <t>国家重点公路建设项目（2017年度第五批）初步设计审批技术咨询服务项目委托代理合同</t>
  </si>
  <si>
    <t>国家重点公路建设项目（2017年度第五批）初步设计审批技术咨询服务项目招标</t>
  </si>
  <si>
    <t>国家重点公路建设项目（2017年度第六批）初步设计审批技术咨询服务项目委托代理合同</t>
  </si>
  <si>
    <t>国家重点公路建设项目（2017年度第六批）初步设计审批技术咨询服务项目招标</t>
  </si>
  <si>
    <t>齐鲁交通发展集团有限公司建设管理分公司招标文件范本编制咨询服务合同</t>
  </si>
  <si>
    <t>交鲁交通发展集团有限公司建设管理分公司</t>
  </si>
  <si>
    <t>范本编制</t>
  </si>
  <si>
    <t>1.协助甲方进行施工招标文件范本中技术规范的编制、审核；2.协助甲方进行施工招标文件范本中项目专用合同条款的编制、审核；3.协助甲方进行施工监理招标文件范本中项目专用合同条款的编制、审核；</t>
  </si>
  <si>
    <t>贵州省都匀至安顺公路路基、桥隧工程施工招标代理合同</t>
  </si>
  <si>
    <t>贵州省都匀至安顺公路路基、桥隧工程施工招标；委托有资质的造价咨询单位对甲方提供的工程量清单（如有）复核；委托有资质的造价咨询单位完成最高投标限价（如有）的编制；</t>
  </si>
  <si>
    <t>贵州省都匀至安顺公路水土保持技术咨询（含验收调查）服务招标代理合同</t>
  </si>
  <si>
    <t>水保</t>
  </si>
  <si>
    <t>水土保持技术咨询（含验收调查）服务招标；委托有资质的造价咨询单位对甲方提供的工程量清单（如有）复核；委托有资质的造价咨询单位完成最高投标限价（如有）的编制；</t>
  </si>
  <si>
    <t>贵州省都匀至安顺公路环境保护技术咨询（含验收调查）服务招标代理合同</t>
  </si>
  <si>
    <t>环保</t>
  </si>
  <si>
    <t>环境保护技术咨询（含验收调查）服务招标；委托有资质的造价咨询单位对甲方提供的工程量清单（如有）复核；委托有资质的造价咨询单位完成最高投标限价（如有）的编制；</t>
  </si>
  <si>
    <t>贵州省湄潭至石阡高速公路施工监理、中心试验室（含桥梁检测）、桥梁监控、隧道控制（含初期支护、二衬检测）、林地和用地手续报建招标代理合同</t>
  </si>
  <si>
    <t>贵州新石高速公路建设有限公司</t>
  </si>
  <si>
    <t>监理、检测、手续报建</t>
  </si>
  <si>
    <t>施工监理、中心试验室（含桥梁检测）、桥梁监控、隧道控制（含初期支护、二衬检测）、林地和用地手续报建招标</t>
  </si>
  <si>
    <t>新疆公路管理局2017年公路养护项目第四合同包（乌鲁木齐、昌吉、哈密、吐鲁番片区）招标代理机构招标代理服务合同</t>
  </si>
  <si>
    <t>公路养护项目的工程类招标、服务类招标、货物业招标（如需要）招标代理工作</t>
  </si>
  <si>
    <t>李晓飞</t>
  </si>
  <si>
    <t>G75兰海高速崇遵段、都新段、贵新段路面工程招标代理合同</t>
  </si>
  <si>
    <t>路面维修工程招标；委托有资质的造价咨询单位对甲方提供的工程量清单（如有）复核；委托有资质的造价咨询单位完成最高投标限价（如有）的编制；</t>
  </si>
  <si>
    <t>清织高速公路新增犁倭收费站交警用房、织金洞收费站交警用房、马场应急保畅中队站房工程施工招标代理合同</t>
  </si>
  <si>
    <t>房建施工</t>
  </si>
  <si>
    <t>房建工程施工招标；委托有资质的造价咨询单位对甲方提供的工程量清单（如有）复核；委托有资质的造价咨询单位完成最高投标限价（如有）的编制；</t>
  </si>
  <si>
    <t>贵州省江口至都格高速公路瓮安至开阳段水土保持方案编制招标代理合同</t>
  </si>
  <si>
    <t>水土保持方案编制招标；委托有资质的造价咨询单位对甲方提供的工程量清单（如有）复核；委托有资质的造价咨询单位完成最高投标限价（如有）的编制；</t>
  </si>
  <si>
    <t>贵州省六盘水至威宁（黔滇界）公路甲供材料（波形梁）采购、沥青采购（一期）招标代理合同</t>
  </si>
  <si>
    <t>甲供材料（波形梁）采购、沥青采购（一期）招标；委托有资质的造价咨询单位对甲方提供的工程量清单（如有）复核；委托有资质的造价咨询单位完成最高投标限价（如有）的编制；</t>
  </si>
  <si>
    <t>贵州省余庆至安龙高速公路罗甸至望谟段桥梁荷载试验、桥梁外观与实体检测及交（竣）工验收试验检测服务招标代理合同</t>
  </si>
  <si>
    <t>试验、检测</t>
  </si>
  <si>
    <t>桥梁荷载试验、桥梁外观与实体检测及交（竣）工验收试验检测服务招标；委托有资质的造价咨询单位对甲方提供的工程量清单（如有）复核；委托有资质的造价咨询单位完成最高投标限价（如有）的编制；</t>
  </si>
  <si>
    <t>兰海国家高速公路重庆至遵义段（贵州境）扩容工程甲供材料（型钢一期）、（钢绞线一期）、（钢材一期）采购招标代理合同</t>
  </si>
  <si>
    <t>甲供材料（型钢一期）、（钢绞线一期）、（钢材一期）采购招标；委托有资质的造价咨询单位对甲方提供的工程量清单（如有）复核；委托有资质的造价咨询单位完成最高投标限价（如有）的编制；</t>
  </si>
  <si>
    <t>贵州省都匀至安顺公路甲供材料（型钢一期）、（钢绞线一期）采购招标代理合同</t>
  </si>
  <si>
    <t>甲供材料（型钢一期）、（钢绞线一期）采购招标；委托有资质的造价咨询单位对甲方提供的工程量清单（如有）复核；委托有资质的造价咨询单位完成最高投标限价（如有）的编制；</t>
  </si>
  <si>
    <t>都（匀）香（格里拉）高速公路贵州境六盘水至威宁（黔滇界）段桥梁荷载试验、桥梁外观与实体检测及交（竣）工验收试验检测服务招标代理合同</t>
  </si>
  <si>
    <t>贵州省遵义至贵阳公路扩容工程（青山至羊昌段及羊昌互通）甲供材料（波形梁）采购招标代理合同</t>
  </si>
  <si>
    <t>甲供材料（波形梁）采购招标；委托有资质的造价咨询单位对甲方提供的工程量清单（如有）复核；委托有资质的造价咨询单位完成最高投标限价（如有）的编制；</t>
  </si>
  <si>
    <t>贵州省余庆至安龙高速公路罗甸至望谟段桥梁荷载试验、桥梁外观与实体检测及交（竣）工验收试验检测服务造价咨询合同文件</t>
  </si>
  <si>
    <t>贵州省余庆至安龙高速公路罗甸至望谟段环境保护技术咨询（含验收调查）造价咨询合同文件</t>
  </si>
  <si>
    <t>清织高速公路新增犁倭收费站交警用房、织金洞收费站交警用房、马场应急保畅中队站房工程造价咨询合同文件</t>
  </si>
  <si>
    <t>都（匀）香（格里拉）高速公路贵州境六盘水至威宁（黔滇界）段桥梁荷载试验、桥梁外观与实体检测及交（竣）工验收试验检测服务造价咨询合同文件</t>
  </si>
  <si>
    <t>G75兰海高速都新段路面维修工程造价咨询合同文件</t>
  </si>
  <si>
    <t>G75兰海高速贵新段路面维修工程造价咨询合同文件</t>
  </si>
  <si>
    <t>G75兰海高速崇遵段路面维修工程造价咨询合同文件</t>
  </si>
  <si>
    <t>国道黑河至大连公路宝泉至克东拜泉界（滕家围子）段、克东拜泉界（滕家围子）至拜泉明水界段改扩建工程项目管养设备采购招标代理合同</t>
  </si>
  <si>
    <t>黑大公路宝泉至拜泉明水界段改扩建工程建设指挥部</t>
  </si>
  <si>
    <t>管养设备采购招标</t>
  </si>
  <si>
    <t>王淑波、杨文丁</t>
  </si>
  <si>
    <t>G228丹东线乳山口大桥勘察设计招标代理合同</t>
  </si>
  <si>
    <t>威海市公路管理局</t>
  </si>
  <si>
    <t>勘察设计招标；编制招标文件、审查投标人资格，组织投标人踏勘现场并答疑，组织开标、评标、定标</t>
  </si>
  <si>
    <t>北京宽带入网费</t>
  </si>
  <si>
    <t>北京彩卉达技术有限公司</t>
  </si>
  <si>
    <t>湖北省嘉鱼长江公路大桥混合梁斜拉桥PC宽箱梁品质提升关键技术研究协作单位招标代理委托合同</t>
  </si>
  <si>
    <t>湖北嘉鱼长江公路大桥有限公司</t>
  </si>
  <si>
    <t>技术研究</t>
  </si>
  <si>
    <t>混合梁斜拉桥PC宽箱梁品质提升关键技术研究协作单位招标</t>
  </si>
  <si>
    <t>王淑波、李光</t>
  </si>
  <si>
    <t>太原二环高速公路凌井店至龙白段（东二环)项目招标代理协议书</t>
  </si>
  <si>
    <t>路面、交安、房建、机电、材料及电力改迁工程施工、监理</t>
  </si>
  <si>
    <t>1.路面、交通工程施工监理招标；2.房建工程、机电工程施工、施工监理招标；电力改迁工程施工招标；需要招标的重要设备材料采购招标；</t>
  </si>
  <si>
    <t>贵州省都匀至安顺公路隧道防水材料采购招标代理合同</t>
  </si>
  <si>
    <t>隧道防水材料采购招标；委托有资质的造价咨询单位对甲方提供的工程量清单（如有）复核；委托有资质的造价咨询单位完成最高投标限价（如有）的编制；</t>
  </si>
  <si>
    <t>贵州省都匀至安顺公路边坡（锚杆、锚索）、抗滑桩、桥梁桩基、桥梁预应力、压浆质量、单梁荷载检测服务招标代理合同</t>
  </si>
  <si>
    <t>服务</t>
  </si>
  <si>
    <t>边坡（锚杆、锚索）、抗滑桩、桥梁桩基、桥梁预应力、压浆质量、单梁荷载检测服务招标；委托有资质的造价咨询单位对甲方提供的工程量清单（如有）复核；委托有资质的造价咨询单位完成最高投标限价（如有）的编制；</t>
  </si>
  <si>
    <t>贵州省都匀至安顺公路特殊路基施工监控与咨询服务招标代理合同</t>
  </si>
  <si>
    <t>特殊路基施工监控与咨询服务招标；委托有资质的造价咨询单位对甲方提供的工程量清单（如有）复核；委托有资质的造价咨询单位完成最高投标限价（如有）的编制；</t>
  </si>
  <si>
    <t>贵州省都匀至安顺公路水土保持监测服务招标代理合同</t>
  </si>
  <si>
    <t>水土保持监测服务招标；委托有资质的造价咨询单位对甲方提供的工程量清单（如有）复核；委托有资质的造价咨询单位完成最高投标限价（如有）的编制；</t>
  </si>
  <si>
    <t>贵州省都匀至安顺公路环境保持监测服务招标代理合同</t>
  </si>
  <si>
    <t>公路环境保持监测服务招标；委托有资质的造价咨询单位对甲方提供的工程量清单（如有）复核；委托有资质的造价咨询单位完成最高投标限价（如有）的编制；</t>
  </si>
  <si>
    <t>贵州省都匀至安顺公路桥梁施工监控服务招标代理合同</t>
  </si>
  <si>
    <t>桥梁施工监控服务招标；委托有资质的造价咨询单位对甲方提供的工程量清单（如有）复核；委托有资质的造价咨询单位完成最高投标限价（如有）的编制；</t>
  </si>
  <si>
    <t>贵州省都匀至安顺公路钢结构制造招标代理合同</t>
  </si>
  <si>
    <t>钢结构制造招标；委托有资质的造价咨询单位对甲方提供的工程量清单（如有）复核；委托有资质的造价咨询单位完成最高投标限价（如有）的编制；</t>
  </si>
  <si>
    <t>贵州省余庆至安龙高速公路罗甸至望谟段环境保护技术咨询（含验收调查）服务招标代理合同</t>
  </si>
  <si>
    <t>贵州省余庆至安龙高速公路罗甸至望谟段水土保持技术咨询（含验收调查）服务招标代理合同</t>
  </si>
  <si>
    <t>G75兰海高速崇遵段、都新段、贵新段路面维修工程监控咨询及施工监理服务招标代理合同</t>
  </si>
  <si>
    <t>服务、监理</t>
  </si>
  <si>
    <t>路面维修工程监控咨询及施工监理服务招标；委托有资质的造价咨询单位对甲方提供的工程量清单（如有）复核；委托有资质的造价咨询单位完成最高投标限价（如有）的编制；</t>
  </si>
  <si>
    <t>青海国道109线乐都至平安段公路改扩建工程招标代理合同</t>
  </si>
  <si>
    <t>路基、路面、附属及材料、设备施工及监理</t>
  </si>
  <si>
    <t>路基、桥涵、路面、交通安全设施、机电、绿化、房建工程的施工、施工监理、中心试验室及主要材料、设备的采购等所包含的全部招标</t>
  </si>
  <si>
    <t>青海西宁南绕城公路东延柳湾互通至平安东段公路工程招标代理合同</t>
  </si>
  <si>
    <t>李晓飞、王伟</t>
  </si>
  <si>
    <t>黑龙江北富高速公路北安至古城段交安、机电工程施工造价咨询合同</t>
  </si>
  <si>
    <t>造价咨询</t>
  </si>
  <si>
    <t>贵州省遵义至贵阳公路扩容工程（青山至羊昌段及羊昌互通）房建、产铵、机电工程施工造价咨询合同</t>
  </si>
  <si>
    <t>贵州省思南至剑河高速公路竣工验收试验检测服务招标代理合同</t>
  </si>
  <si>
    <t>竣工验收试验检测服务招标；委托有资质的造价咨询单位对甲方提供的工程量清单（如有）复核；委托有资质的造价咨询单位完成最高投标限价（如有）的编制；</t>
  </si>
  <si>
    <t>贵州省遵义至毕节高速公路竣工验收试验检测服务招标代理合同</t>
  </si>
  <si>
    <t>贵州省惠兴高速公路惠水至镇宁段竣工验收试验检测服务招标代理合同</t>
  </si>
  <si>
    <t>贵州省惠兴高速公路镇宁至兴仁段竣工验收试验检测服务招标代理合同</t>
  </si>
  <si>
    <t>贵州省尖小高速公路档案馆及应急物资储备中心工程施工监理招标代理合同</t>
  </si>
  <si>
    <t>施工监理和承担相应的试验检测招标；委托有资质的造价咨询单位对甲方提供的工程量清单（如有）复核；委托有资质的造价咨询单位完成最高投标限价（如有）的编制；</t>
  </si>
  <si>
    <t>贵州省尖小高速公路档案馆及应急物资储备中心工程房建工程施工招标代理合同</t>
  </si>
  <si>
    <t>建筑、结构、给排水、电气、暖通、消防、装饰装修、设备设施、室外场坪、绿化工程施工招标；委托有资质的造价咨询单位对甲方提供的工程量清单（如有）复核；委托有资质的造价咨询单位完成最高投标限价（如有）的编制；</t>
  </si>
  <si>
    <t>贵州省惠水至罗甸高速公路竣工验收试验检测服务招标代理合同</t>
  </si>
  <si>
    <t>贵州省都（匀）香（格里拉）高速公路贵州境六盘水至威宁（黔滇界）段环境保护竣工验收调查技术评估服务招标代理合同</t>
  </si>
  <si>
    <t>环境保护竣工验收调查技术评估服务招标；委托有资质的造价咨询单位对甲方提供的工程量清单（如有）复核；委托有资质的造价咨询单位完成最高投标限价（如有）的编制；</t>
  </si>
  <si>
    <t>贵州省都（匀）香（格里拉）高速公路贵州境六盘水至威宁（黔滇界）段水土保持竣工验收调查技术评估服务招标代理合同</t>
  </si>
  <si>
    <t>水土保持竣工验收调查技术评估服务招标；委托有资质的造价咨询单位对甲方提供的工程量清单（如有）复核；委托有资质的造价咨询单位完成最高投标限价（如有）的编制；</t>
  </si>
  <si>
    <t>贵州省都（匀）香（格里拉）高速公路贵州境六盘水至威宁（黔滇界）段房建工程装饰装修设计施工总承包招标代理合同</t>
  </si>
  <si>
    <t>房建工程装饰装修工程及安装工程（收费站、服务区办公生活建筑、公共卫生间的室内装饰工程及室外水电安装工程）设计施工总承包招标；委托有资质的造价咨询单位对甲方提供的工程量清单（如有）复核；委托有资质的造价咨询单位完成最高投标限价（如有）的编制；</t>
  </si>
  <si>
    <t>贵州省G75兰海高速贵遵段、G78汕昆高速板江段、S88榕麻高速麻驾段路面维修工程监控咨询及施工监理招标代理合同</t>
  </si>
  <si>
    <t>监控、咨询及监理</t>
  </si>
  <si>
    <t>路面维修工程监控咨询及施工监理招标；委托有资质的造价咨询单位对甲方提供的工程量清单（如有）复核；委托有资质的造价咨询单位完成最高投标限价（如有）的编制；</t>
  </si>
  <si>
    <t>贵州省思南至剑河等五条高速公路竣工验收检测试验服务造价咨询合同</t>
  </si>
  <si>
    <t>贵州省尖小高速公路档案馆及应急物资储备中心房建工程造价咨询合同</t>
  </si>
  <si>
    <t>贵州省尖小高速公路档案馆及应急物资储备中心房建工程施工监理造价咨询合同</t>
  </si>
  <si>
    <t>贵州省余庆至安龙高速公路罗甸至望谟段水土保持技术咨询（含验收调查）服务造价咨询合同</t>
  </si>
  <si>
    <t>贵州省都匀至安顺公路钢结构制造价咨询合同</t>
  </si>
  <si>
    <t>贵州省都匀至安顺高速公路造价咨询合同</t>
  </si>
  <si>
    <t>晋城环城高速公路养护设备采购项目招标代理合同</t>
  </si>
  <si>
    <t>晋城环城高速公路建设管理处</t>
  </si>
  <si>
    <t>设备采购的全过程招标；；</t>
  </si>
  <si>
    <t>王叔波、王伟</t>
  </si>
  <si>
    <t>国道丹东至阿勒秦公路呼玛至十八站改扩建工程项目水土保持监理和监测、竣工验收技术评估及咨询服务机构招标代理服务合同</t>
  </si>
  <si>
    <t>国道丹阿公路呼玛至十八站段改扩建工程建设项目办</t>
  </si>
  <si>
    <t>水保监理、监测、竣工评估</t>
  </si>
  <si>
    <t>水土保持监理和监测、竣工验收技术评估及咨询服务机构招标；</t>
  </si>
  <si>
    <t>王叔波、杨文丁</t>
  </si>
  <si>
    <t>国道丹阿公路吉黑省界（珲春）至东宁段改扩建工程建设项目水土保持监理和监测、竣工验收技术评估及咨询服务机构招标代理服务合同</t>
  </si>
  <si>
    <t>国道丹阿公路吉黑省界至东宁段改扩建工程建设项目办</t>
  </si>
  <si>
    <t>国道丹东至阿勒秦公路呼玛至十八站段改扩建工程项目招标代理服务合同（仅一份合同）</t>
  </si>
  <si>
    <t>主体工程设计施工总承包、施工监理、试验检测机构招标；</t>
  </si>
  <si>
    <t>长临高速公路临汾民航机场连接线工程及临汾东贾互通工程项目招标代理合同</t>
  </si>
  <si>
    <t>临汾市交通运输局</t>
  </si>
  <si>
    <t>应由甲方负责的项目前期工作招标；</t>
  </si>
  <si>
    <t>王叔波、魏超、袁希一</t>
  </si>
  <si>
    <t>国家重点公路建设项目（2018年度第一批）初步设计审批技术咨询服务项目委托招标代理合同</t>
  </si>
  <si>
    <t>初设审批</t>
  </si>
  <si>
    <t>国家重点公路建设项目（2018年度第一批）初步设计审批技术咨询服务项目的招标；</t>
  </si>
  <si>
    <t>王叔波</t>
  </si>
  <si>
    <t>国家重点公路建设项目（2018年度第三批）初步设计审批技术咨询服务项目委托招标代理合同</t>
  </si>
  <si>
    <t>国家重点公路建设项目（2018年度第三批）初步设计审批技术咨询服务项目的招标</t>
  </si>
  <si>
    <t>国家重点公路建设项目2018年度初步设计审批技术咨询服务业绩审查及初步设计审批技术咨询服务（2018年度第四批）项目委托招标代理合同</t>
  </si>
  <si>
    <t>业绩审查、初设审批</t>
  </si>
  <si>
    <t>国家重点公路建设项目2018年度初步设计审批技术咨询服务企业业绩和人员业绩审查及国家重点公路建设项目（2018年度第四批）初步设计审批技术咨询服务项目的招标</t>
  </si>
  <si>
    <t>国家重点公路建设项目（2018年度第二批）初步设计审批技术咨询服务项目委托招标代理合同</t>
  </si>
  <si>
    <t>国家重点公路建设项目（2018年度第二批）初步设计审批技术咨询服务项目的招标</t>
  </si>
  <si>
    <t>贵州省都匀至安顺高速公路环境保护监测服务造价咨询合同</t>
  </si>
  <si>
    <t>2018年</t>
  </si>
  <si>
    <t>都（匀）香（格里拉）高速公路贵州境六盘水至威宁（黔滇界）段房建工程装饰装修设计施工总承包造价咨询合同</t>
  </si>
  <si>
    <t>都（匀）香（格里拉）高速公路贵州境六盘水至威宁（黔滇界）段环境保护竣工验收调查技术评估服务、水土保持竣工验收调查技术评估服务造价咨询合同</t>
  </si>
  <si>
    <t>兰海国家高速公路重庆至遵义段（贵州境）扩容工程水土保持监测服务、环境保护监测服务造价咨询合同</t>
  </si>
  <si>
    <t>贵州省乌当（羊昌）至平塘高速公路环境影响评价服务、水土保持方案编制技术服务造价咨询合同</t>
  </si>
  <si>
    <t>贵州省乌当（羊昌）至平塘高速公路环境影响评价服务招标代理合同</t>
  </si>
  <si>
    <t>环境影响评价服务招标；委托有资质的造价咨询单位对甲方提供的工程量清单（如有）复核；委托有资质的造价咨询单位完成最高投标限价（如有）的编制；</t>
  </si>
  <si>
    <t>贵州省乌当（羊昌）至平塘高速公路水土保持方案编制招标代理合同</t>
  </si>
  <si>
    <t>兰海国家高速公路重庆至遵义段（贵州境）扩容工程水土保持监测招标代理合同</t>
  </si>
  <si>
    <t>水土保持监测招标；委托有资质的造价咨询单位对甲方提供的工程量清单（如有）复核；委托有资质的造价咨询单位完成最高投标限价（如有）的编制；</t>
  </si>
  <si>
    <t>兰海国家高速公路重庆至遵义段（贵州境）扩容工程环境保持监测招标代理合同</t>
  </si>
  <si>
    <t>扩容工程环境保持监测招标；委托有资质的造价咨询单位对甲方提供的工程量清单（如有）复核；委托有资质的造价咨询单位完成最高投标限价（如有）的编制；</t>
  </si>
  <si>
    <t>金沙经仁怀至桐梓高速公路勘察设计项目招标代理合同</t>
  </si>
  <si>
    <t>遵义市交通运输局</t>
  </si>
  <si>
    <t>勘察设计项目招标</t>
  </si>
  <si>
    <t>纳雍至兴义国家高速公路纳（雍）六（枝）晴（隆）段项目所有招标代理合同（贵州省公路开发有限责任公司所属项目1标）</t>
  </si>
  <si>
    <t>项目所有招标项目招标</t>
  </si>
  <si>
    <t>刘林波、李晓飞、房启军、李楠</t>
  </si>
  <si>
    <t>衡阳至永州公路特许经营项目BOT实施方案编制单位咨询服务合同书</t>
  </si>
  <si>
    <t>湖南省交通运输厅规划与项目办公室</t>
  </si>
  <si>
    <t>编制本项目实施方案。并配合甲方完成实施方案的上报及审批工作</t>
  </si>
  <si>
    <t>李晓飞、陈志宇</t>
  </si>
  <si>
    <t>G30新疆境内乌鲁木齐至奎屯段改扩建工程配套房建工程施工（26个站点）造价咨询合同（2018-6）</t>
  </si>
  <si>
    <t>北京中交建设工程咨询有限公司</t>
  </si>
  <si>
    <t>湖北省白洋长江公路大桥钢桁梁制造与加工造价咨询合同（2017-2）</t>
  </si>
  <si>
    <t>湖北省白洋长江公路大桥索鞍、索夹制造与加工造价咨询合同（2017-2）</t>
  </si>
  <si>
    <t>湖北省白洋长江公路大桥主缆、吊索制造与加工造价咨询合同（2017-2）</t>
  </si>
  <si>
    <t>湖北省石首长江公路大桥（主桥、引桥、滩桥）桥面铺装工程造价咨询合同（2018-4）</t>
  </si>
  <si>
    <t>湖北省石首长江公路大桥交通安全设施工程施工造价咨询合同（2017-7）</t>
  </si>
  <si>
    <t>湖北省石首长江公路大桥绿化工程造价咨询合同（2017-7）</t>
  </si>
  <si>
    <t>省道小凤线临晋镇--永济段改线工程造价咨询合同（2017-11）</t>
  </si>
  <si>
    <t>浙江省三门湾大桥及接线工程（宁波段）交通安全设施第JA1-JA2标段造价咨询合同（2017-10）</t>
  </si>
  <si>
    <t>青海省同仁至西卜沙公路工程招标代理合同</t>
  </si>
  <si>
    <t>路基、桥涵、路面、交通安全设施、机电、绿化、房建等工程的施工、施工监理招标及主要材料、设备的采购招标</t>
  </si>
  <si>
    <t>北京九德路（京哈高速公路--潞西路）改造工程造价咨询合同（2018）</t>
  </si>
  <si>
    <t>北京天北路北延（昌金路--桥梓镇政府西街）道路工程造价咨询合同（2017）</t>
  </si>
  <si>
    <t>北京通州孔兴路（孔庄北--京津公路）道路工程造价咨询合同（2016）</t>
  </si>
  <si>
    <t>北京长安街市容环境景观提升工程造价咨询合同（2018）</t>
  </si>
  <si>
    <t>贵州仁怀至遵义高速公路工程造价咨询合同（2017）</t>
  </si>
  <si>
    <t>贵州省都匀至安顺公路桥梁钢结构工程造价咨询合同（2018）</t>
  </si>
  <si>
    <t>湖北省武穴长江公路大桥钢箱梁、钢锚梁制造工程造价咨询合同（2018）</t>
  </si>
  <si>
    <t>湖北省武穴长江公路大桥斜拉索制造工程造价咨询合同（2018）</t>
  </si>
  <si>
    <t>湖北枣潜高速潜江段荆门南、贲门北交安工程造价咨询合同（2018）</t>
  </si>
  <si>
    <t>青海国道109线乐都至平安段公路改扩建工程造价咨询合同（2017）</t>
  </si>
  <si>
    <t>青海西宁南绕城公路东延柳湾互通至平安东段公路工程造价咨询合同（2017）</t>
  </si>
  <si>
    <t>新疆国道216线喀木斯特镇至喀默斯特库都克段公路工程配套房建工程造价咨询合同（2017）</t>
  </si>
  <si>
    <t>新疆连霍高速（G30）新疆境内乌鲁木齐至奎屯段改扩建工程配套房建工程施工（三坪服务区、五工台服务区）造价咨询合同（2018）</t>
  </si>
  <si>
    <t>中路电子招投标交易平台服务合同（2019）</t>
  </si>
  <si>
    <t>北京奇思信息技术有限公司</t>
  </si>
  <si>
    <t>软件开发</t>
  </si>
  <si>
    <t>国道207线长治晋城界至陵川段升级改造工程项目政府和社会资本合作（PPP）咨询服务合同</t>
  </si>
  <si>
    <t>山西省公路局晋城分局</t>
  </si>
  <si>
    <t>PPP</t>
  </si>
  <si>
    <t>1.编制ppp项目实施方案、物有所值评价报告、财务承受能力论证报告、PPP项目合同，并协助招标人完成实施方案审查及审批等国政中的协调、沟通等工作；2.社会资本投资人招标代理工作，包括全套招标文件（含PPP项目合同范本）编制、招标方式的确定、资格审查、开标、评标等招标代理相关工作；3.协助招标人做好对潜在投标人的考察工作，并协助招标人与潜在投资人进行谈判（包括财务谈判和协议谈判等）协助委托人签署PPP合同，提供PPP专项法律咨询服务工作；4.提供其他相关咨询服务工作。</t>
  </si>
  <si>
    <t>湖南省平江（湘赣界）至伍市段、伍市至益阳段高速公路土建施工招标代理协议</t>
  </si>
  <si>
    <t>湖南省平益高速公路建设开发有限公司</t>
  </si>
  <si>
    <t>土建工程施工的招标</t>
  </si>
  <si>
    <t>李晓飞、周佳彬</t>
  </si>
  <si>
    <t>北京电影小镇一期项目</t>
  </si>
  <si>
    <t>北京齐道电影文化发展有限公司</t>
  </si>
  <si>
    <t>设计、施工、监理</t>
  </si>
  <si>
    <t>代为编制招标文件、发布招标公告、组织澄清答疑、招标文件印刷、组织现场踏勘及答疑（如需要）、组织接受投标申请人姓名、审查投标人资格、组织开评标、评审会务组织、相关专家及人员的接送、支付专家费用、编制招投标情况书面报告等与本项目招标有关的其他事宜。</t>
  </si>
  <si>
    <t>蕲春至太湖高速公路蕲春西段招标代理补充合同（二）</t>
  </si>
  <si>
    <t>湖北交投蕲春西高速公路有限公司</t>
  </si>
  <si>
    <t>各阶段施工承包合同、施工图预算、转工程量清单预算、工程量清单编制、技术规范及计量规则</t>
  </si>
  <si>
    <t>山西省兴县北山过境公路项目政府和社会资本合作（PPP）“一案两评”审查咨询合同</t>
  </si>
  <si>
    <t>兴县交通运输局</t>
  </si>
  <si>
    <t>对甲方提供的本项目实施方案、物有所值评价报告、财政承受能力论证报告提出书面审查意见</t>
  </si>
  <si>
    <t>王叔波、杜晓雷</t>
  </si>
  <si>
    <t>山西省国省道路面改造PPP模式项目招标代理机构服务合同</t>
  </si>
  <si>
    <t>社会资本方、勘察设计、监理等招标代理，起草相关合同（含PPP合同）、组织合同谈判与签署，以及与招标工作相关的咨询等工作。</t>
  </si>
  <si>
    <t>黑龙江鹤大高速佳木斯过境段政府和社保资本合作（PPP）项目招标代理服务合同</t>
  </si>
  <si>
    <t>黑龙江省高速公路建设局</t>
  </si>
  <si>
    <t>本项目政府和社会资本合作（PPP）的社会资本招标</t>
  </si>
  <si>
    <t>黑龙江鹤大高速佳木斯过境段政府和社保资本合作（PPP）项目技术咨询服务合同</t>
  </si>
  <si>
    <t>1.对本项目《ppp实施方案》、《物有所值评价报告及财务承受能力论证》等前期工作文件进行咨询和评估；2.编制市场测试方案，协助甲方对本项目的潜在社会投资方进行市场测试，整理、分析、汇总市场测试结果；3.通过财务分析和测算，评估本项目投资额增加对政府有内应期补贴的影响；通过分析测算政府运营期补贴与资本金内部收益率，为甲方确定政府运营期补贴最高投标限价提供决策依据；4.对全国类似PPP项目相关资料（如资产负债率、监理单位选择方式等）进行专项调研，为甲方提供决策依据；5协助甲方指定PPP合同草案、确认谈判原则、谈判程序，对谈判问题进行分析汇总，拟定谈判备忘录，协助甲方进行PPP合同公示、签订；6.为甲方提供PPP项目建设期合同咨询</t>
  </si>
  <si>
    <t>王叔波、杜晓雷、杨文丁</t>
  </si>
  <si>
    <t>黑龙江鹤大高速佳木斯过境段项目初步勘察设计招标代理服务合同</t>
  </si>
  <si>
    <t>初步勘察设计招标</t>
  </si>
  <si>
    <t>公路电子招投标数据平台及标准电子招股标文件制作工具开发合同</t>
  </si>
  <si>
    <t>开发</t>
  </si>
  <si>
    <t>公路电子平台技术咨询合同</t>
  </si>
  <si>
    <t>湖南省平江（湘赣界）至伍市高速公路项目土建工程施工造价咨询合同</t>
  </si>
  <si>
    <t>中咨环球（北京）工程咨询有限公司</t>
  </si>
  <si>
    <t>湖南省伍市至益阳高速公路项目土建工程施工造价咨询合同</t>
  </si>
  <si>
    <t>衡阳至永州公路特许经营项目咨询委托合同</t>
  </si>
  <si>
    <t>巴音郭楞蒙古自治州木那布拉克道班－卡子－吐拉牧场等五个公路项目PPP咨询委托合同</t>
  </si>
  <si>
    <t>PPP咨询</t>
  </si>
  <si>
    <t>巴音郭楞蒙古自治州G0612若羌至民丰高速公路、G216轮台至民丰公路及国有农林牧场道路项目</t>
  </si>
  <si>
    <t>湖北省白洋长江公路大桥主体工程造价咨询合同</t>
  </si>
  <si>
    <t>国道丹阿公路绥芬河（永胜）至绥阳（东大满）段改扩建工程项目招标代理服务合同</t>
  </si>
  <si>
    <t>国道丹阿公路绥芬河（永胜）至绥阳（东大满）段改扩建工程项目办</t>
  </si>
  <si>
    <t>主体、交安施工及监理招标</t>
  </si>
  <si>
    <t>主体工程施工、交通安全设施工程施工、施工监理、试验检测机构 招标</t>
  </si>
  <si>
    <t>王淑波 杨文丁</t>
  </si>
  <si>
    <t>哈尔滨至肇源段高速公路项目PPP前期咨询及招标代理合同</t>
  </si>
  <si>
    <t>编制PPP项目实施方案、物有所值评价报告、财政承受能力论证报告、编制PPP项目合同并协助实施机构进行PPP合同谈判、编制资格预审文件和招标文件、社会资本方招标采购</t>
  </si>
  <si>
    <t>哈尔滨至肇源高速公路项目勘察设计招标代理合同</t>
  </si>
  <si>
    <t>全线（含路线、路基、路面、桥涵、路线交叉、交通安全设施、全线机电（含监控、通信、收费系统，供配电系统，照明系统）、养护管理设施、服务设施、房屋建筑、环保、水保、景观绿化及其他工程） 勘察设计 招标</t>
  </si>
  <si>
    <t>延庆至崇礼高速公路河北段赤城支线技术咨询服务合同</t>
  </si>
  <si>
    <t>保定安顺信息技术咨询有限公司</t>
  </si>
  <si>
    <t>贵州（采购）委托协议（2019年春节后高总司所有项目合同）</t>
  </si>
  <si>
    <t>贵州高速公路集团有限公司招标</t>
  </si>
  <si>
    <t>招标</t>
  </si>
  <si>
    <t>被抽中项目的招标采购 负责完成招标估价（甲方自行编制招标估价的除外） 负责对甲方提供的工程量清单（如有）进行复核并进行固化（如甲方需要）</t>
  </si>
  <si>
    <t>李晓飞 周佳彬</t>
  </si>
  <si>
    <t>贵州省贵阳至安顺公路扩容工程可行性研究咨询服务招标代理合同</t>
  </si>
  <si>
    <t>工可</t>
  </si>
  <si>
    <t>工程可行性研究咨询服务招标，负责委托有资质的造价咨询单位对甲方提供的工程量清单（如有）进行复核，负责委托有资质的造价咨询单位完成最高投标限价（如有）的编制</t>
  </si>
  <si>
    <t>贵州省贵阳至都匀公路扩容工程可行性研究咨询服务招标代理合同</t>
  </si>
  <si>
    <t>李晓飞 周佳彬 李楠</t>
  </si>
  <si>
    <t>桐梓至新蒲高速公路勘察设计项目招标代理合同</t>
  </si>
  <si>
    <t>勘察设计招标代理</t>
  </si>
  <si>
    <t>沪陕（沪蓉）国家高速公路安徽省合肥至大顾店段改扩建工程、芜湖至合肥国家高速公路芜湖至林头段改扩建工程政府与社会资本合同（PPP）咨询服务项目招标代理合同</t>
  </si>
  <si>
    <t>安徽省交通运输厅</t>
  </si>
  <si>
    <t>PPP招标</t>
  </si>
  <si>
    <t>编制PPP项目实施方案、配合编制物有所值评价报告、配合编制财政承受能力论证报告、社会资本方招标采购、协助进行PPP合同谈判、协助签署PPP合同</t>
  </si>
  <si>
    <t>鹤大高速佳木斯过境段项目施工监理、试验检测机构招标代理合同</t>
  </si>
  <si>
    <t>监理、检测</t>
  </si>
  <si>
    <t>施工监理、试验检测机构招标</t>
  </si>
  <si>
    <t>北京电影小镇一期园区景观设计招标代理合同</t>
  </si>
  <si>
    <t>景观设计</t>
  </si>
  <si>
    <t>景观设计招标</t>
  </si>
  <si>
    <t>国道黑河至大连公路青冈（杜家店）至兰西段改扩建工程青冈连接线项目施工招标代理合同</t>
  </si>
  <si>
    <t>黑龙江省公路工程监理咨询公司
黑大公路青冈连接线工程项目代建管理办公室</t>
  </si>
  <si>
    <t>路基、路面、涵洞、交叉、交通安全设施施工招标</t>
  </si>
  <si>
    <t>唐山市东湖片区生态修复和基础设施建设项目政府和社会资本合作（PPP）前期咨询及招标代理合同</t>
  </si>
  <si>
    <t>唐山市开平区住房和城乡建设局</t>
  </si>
  <si>
    <t>PPP咨询、招标</t>
  </si>
  <si>
    <t>编制PPP项目实施方案、物有所值评价报告、财政承受能力论证报告、编制PPP项目合同并协助签署ppp合同、社会资本投资人招标采购、资格审查</t>
  </si>
  <si>
    <t>战略合同框架协议</t>
  </si>
  <si>
    <t>山东秀立律师事务所</t>
  </si>
  <si>
    <t>合作协议</t>
  </si>
  <si>
    <t>扎隆沟至碾伯镇“绿色示范公路”全过程技术咨询服务招标代理合同</t>
  </si>
  <si>
    <t>技术咨询招标</t>
  </si>
  <si>
    <t>全过程技术咨询服务招标</t>
  </si>
  <si>
    <t>乌兰至德令哈公路病害整治工程及G572贵南至乌兰公路贵南（黄沙头）至三塔拉段公路工程交通安全设施工程施工招标代理合同</t>
  </si>
  <si>
    <t>交安施工</t>
  </si>
  <si>
    <t>交通安全设施工程施工招标</t>
  </si>
  <si>
    <t>省道212线德令哈至哈拉湖西段公路工程施工及监理招标代理合同</t>
  </si>
  <si>
    <t>路基、路面、防护、桥涵、平面交叉、绿化等工程施工及施工监理招标</t>
  </si>
  <si>
    <t>国道215线察尔汗至格尔木段公路路面改造工程招标代理合同</t>
  </si>
  <si>
    <t>勘察设计、施工及施工监理招标</t>
  </si>
  <si>
    <t>茶卡至格尔木公路改扩建工程沿线路政执法、养护管理用房维修改造及配套设施工程招标代理合同</t>
  </si>
  <si>
    <t>房建工程的施工及施工监理招标</t>
  </si>
  <si>
    <t>青海省巴卡台、哈尔盖养护工区房建工程招标代理合同</t>
  </si>
  <si>
    <t>省道214线怀头塔拉至宗加镇段公路改建工程勘察设计招标代理合同</t>
  </si>
  <si>
    <t>勘察设计招标</t>
  </si>
  <si>
    <t>国道310线尖扎至共和段公路工程施工图设计招标代理合同</t>
  </si>
  <si>
    <t>施工图设计招标</t>
  </si>
  <si>
    <t>省道102线西宁绕城环线平安经互助至大通公路、扎隆沟至碾伯镇公路等四项目房建工程招标代理合同</t>
  </si>
  <si>
    <t>省道102线西宁绕城环线大通经湟中至平安段公路工程招标代理补充协议书-02</t>
  </si>
  <si>
    <t>路面施工招标</t>
  </si>
  <si>
    <t>省道102线西宁绕城环线大通经湟中至平安段公路工程招标代理补充协议书-03</t>
  </si>
  <si>
    <t>交通安全设施、机电和房建工程施工及施工监理招标</t>
  </si>
  <si>
    <t>G575线巴里坤至哈密公路建设项目PPP招标技术咨询合同</t>
  </si>
  <si>
    <t>北京中咨海外咨询有限公司</t>
  </si>
  <si>
    <t>新疆第五师双河市--81团公路工程招标代理合同</t>
  </si>
  <si>
    <t>新疆生产建设兵团第五师垦区公路管理养护所</t>
  </si>
  <si>
    <t>施工及施工监理招标</t>
  </si>
  <si>
    <t>洪永道</t>
  </si>
  <si>
    <t>新疆第五师87团~G219公路工程招标代理合同</t>
  </si>
  <si>
    <t>蕲春至太湖高速公路蕲春西段招标代理补充合同</t>
  </si>
  <si>
    <t>招标代理</t>
  </si>
  <si>
    <t>湖北省武穴长江公路大桥项目招标代理合同（2次签订招标人变更）</t>
  </si>
  <si>
    <t>湖北武穴长江公路大桥有限公司</t>
  </si>
  <si>
    <t>勘察设计、施工、监理、材料、设备</t>
  </si>
  <si>
    <t>勘察设计招标、施工监理招标、施工招标、工程咨询服务类招标、材料、设备采购招标、含工程量清单及供甲方参考的最高投标限价编制</t>
  </si>
  <si>
    <t>湖北省棋盘洲长江公路大桥项目招标代理合同（2次签订招标人变更）</t>
  </si>
  <si>
    <t>湖北棋盘洲长江公路大桥有限公司</t>
  </si>
  <si>
    <t>施工监理招标、施工招标、工程咨询服务类招标、材料、设备采购招标、含工程量清单及供甲方参考的最高投标限价编制</t>
  </si>
  <si>
    <t>枣阳至潜江高速公路荆门钟祥至潜江段（潜江段）交安、机电、房建工程施工招标代理合同</t>
  </si>
  <si>
    <t>湖北交投潜江高速公路公司有限公司</t>
  </si>
  <si>
    <t>交通安全设施、机电和房建工程施工招标，编制、审核工程量清单及合同文件编制</t>
  </si>
  <si>
    <t>枣阳至潜江高速公路荆门钟祥至潜江段（潜江段）房建工程施工监理招标代理合同</t>
  </si>
  <si>
    <t>房建工程施工监理招标，含工程量清单及供甲方参考的最高投标限价编制（如果有）</t>
  </si>
  <si>
    <t>枣阳至潜江高速公路荆门钟祥至潜江段（荆门南）交安、机电、房建工程施工招标代理合同</t>
  </si>
  <si>
    <t>湖北交投荆门南高速公路公司有限公司</t>
  </si>
  <si>
    <t>枣阳至潜江高速公路荆门钟祥至潜江段（荆门南）房建工程施工监理招标代理合同</t>
  </si>
  <si>
    <t>房建工程施工监理招标，编制、审核工程量清单及合同文件编制</t>
  </si>
  <si>
    <t>湖北省嘉鱼长江公路大桥桥梁荷载试验招标代理合同</t>
  </si>
  <si>
    <t>桥梁荷载试验招标</t>
  </si>
  <si>
    <t>王淑波 李光</t>
  </si>
  <si>
    <t>湖北省嘉鱼长江公路大桥斜拉索外置式阻尼器技术提升、产品开发和采购安装招标代理合同</t>
  </si>
  <si>
    <t>斜拉索外置式阻尼器技术提升、产品开发和采购安装招标</t>
  </si>
  <si>
    <t>湖北省嘉鱼长江公路大桥大跨径钢桥桥面铺装耐久性关键技术研究科研协作单位招标代理合同</t>
  </si>
  <si>
    <t>大跨径钢桥桥面铺装耐久性关键技术研究科研协作单位招标</t>
  </si>
  <si>
    <t>湖北省赤壁长江公路大桥桥梁荷载试验招标代理合同</t>
  </si>
  <si>
    <t>湖北省赤壁长江公路大桥有限公司</t>
  </si>
  <si>
    <t>ZTC招标管理软件开发合同变更协议</t>
  </si>
  <si>
    <t>晋阳高速公路改扩建工程咨询服务项目</t>
  </si>
  <si>
    <t>山西省交通开发投资集团有限公司</t>
  </si>
  <si>
    <t>咨询服务</t>
  </si>
  <si>
    <t>对项目的投资建设进行策划，编制项目具体实施方案，投融资及建设模式、建设程序咨询，全过程咨询、政策法规咨询、合同咨询等</t>
  </si>
  <si>
    <t>王淑波 魏超</t>
  </si>
  <si>
    <t>山西灵丘至山阴高速公路收费权益转让招标代理合同</t>
  </si>
  <si>
    <t>山西交通控股集团有限公司</t>
  </si>
  <si>
    <t>收费权益转让招标代理</t>
  </si>
  <si>
    <t>山西平定至阳曲高速公路收费权益转让招标代理合同</t>
  </si>
  <si>
    <t>灵河高速公路（原神段）附属工程施工招标项目技术咨询服务合同（仅此一份）</t>
  </si>
  <si>
    <t>北京金恒晟资产管理有限公司</t>
  </si>
  <si>
    <t>唐山市丰润区全区新谋划3个PPP项目咨询服务备忘录（仅此一份）</t>
  </si>
  <si>
    <t>唐山市丰润区财政局</t>
  </si>
  <si>
    <t>PPP咨询服务</t>
  </si>
  <si>
    <t>开展尽职调查，编制PPP实施方案，编制物有所值评价报告和财政承受能力论证报告，资格预审文件（如需）和招标文件，起草PPP项目投资协议、PPP项目合同，组织社会资本招标，协助项目实施机构与社会资本方进行确认谈判，并形成确认谈判备忘录，协助签署PPP项目投资协议，协助签署PPP项目合同，协助完成PPP项目入库</t>
  </si>
  <si>
    <t>中路电子招标投标系统（中路电子招投标交易平台）检测认证服务合同</t>
  </si>
  <si>
    <t>中金金融认证中心有限公司/四川建设网有限责任公司</t>
  </si>
  <si>
    <t>外委检测</t>
  </si>
  <si>
    <t>G228丹东线乳山口大桥工程招标代理协议书</t>
  </si>
  <si>
    <t>威海市公路事业发展中心</t>
  </si>
  <si>
    <t>施工、监理技术咨询、试验检测</t>
  </si>
  <si>
    <t>施工及监理服务、技术咨询、试验检测等招标，编制招标控制价上限及工程量清单</t>
  </si>
  <si>
    <t>湖北省赤壁长江公路大桥等项目第CBLX-2标段招标代理合同（五峰段、鹤峰东段、蕲春至太湖段）</t>
  </si>
  <si>
    <t>湖北省交通投资集团有限公司</t>
  </si>
  <si>
    <t>施工、监理、材料、设备、咨询服务</t>
  </si>
  <si>
    <t>施工监理招标、施工招标、工程咨询服务类招标、材料、设备采购招标、含工程量清单及供甲方参考的最高投标限价编制（如果有）</t>
  </si>
  <si>
    <t>唐山市丰润区交通运输局PPP项目缩减投资规模及全区新谋划3个PPP项目前期咨询及招标代理合同</t>
  </si>
  <si>
    <t>PPP咨询服务、招标服务</t>
  </si>
  <si>
    <t>对原财政部PPP项目库中的报告进行修编，重新测算政府付费金额，更新、完善财政部PPP项目库信息，3个新谋划项目开展尽职调查，编制PPP实施方案，编制物有所值评价报告和财政承受能力论证报告，资格预审文件（如需）和招标文件，起草PPP项目投资协议、PPP项目合同，组织社会资本招标，协助项目实施机构与社会资本方进行确认谈判，并形成确认谈判备忘录，协助签署PPP项目投资协议，协助签署PPP项目合同，协助完成PPP项目入库</t>
  </si>
  <si>
    <t>王淑波 杜晓雷</t>
  </si>
  <si>
    <t>李晓飞 陈志宇</t>
  </si>
  <si>
    <t>青海省牙什尕至同仁段公路建设项目工程结算咨询服务招标代理合同</t>
  </si>
  <si>
    <t xml:space="preserve">工程结算咨询服务招标，负责按照规定格式编制完成工程量清单终稿 </t>
  </si>
  <si>
    <t>李晓飞 王伟</t>
  </si>
  <si>
    <t>青海省同仁南至西卜沙公路工程中心试验室招标代理合同</t>
  </si>
  <si>
    <t xml:space="preserve">中心试验室招标，负责按照规定格式编制完成工程量清单终稿 </t>
  </si>
  <si>
    <t>青海民族大学校区路网及配套设备改造工程招标代理合同</t>
  </si>
  <si>
    <t xml:space="preserve">路基、路面、排水等工程施工及施工监理招标，负责按照规定格式编制完成工程量清单终稿 </t>
  </si>
  <si>
    <t>西宁南绕城公路工程竣工决算编制及咨询服务招标代理合同</t>
  </si>
  <si>
    <t xml:space="preserve">竣工决算编制及咨询服务招标，负责按照规定格式编制完成工程量清单终稿，负责按照规定格式编制完成工程量清单终稿 </t>
  </si>
  <si>
    <t>茶卡镇北过境公路工程招标代理委托合同</t>
  </si>
  <si>
    <t>路基、路面、防护、桥涵、交通安全设施、机电绿化等工程施工及施工监理招标</t>
  </si>
  <si>
    <t>西宁南绕城公路隧道洞口段交通安全设施完善工程招标代理委托合同</t>
  </si>
  <si>
    <t>交通安全设施完善工程施工招标</t>
  </si>
  <si>
    <t>2019年静安西街等道路大修工程造价咨询合同</t>
  </si>
  <si>
    <t>天北路北延（昌金路-桥梓镇政府西街怀柔段道路工程（交安、环保及绿化工程）造价咨询合同</t>
  </si>
  <si>
    <t>新疆交通投资有限责任公司选取招标代理机构入围项目合同</t>
  </si>
  <si>
    <t>新疆交通投资有限责任公司</t>
  </si>
  <si>
    <t>相关工程招标、服务招标、货物招标等招标代理</t>
  </si>
  <si>
    <t xml:space="preserve">杨文丁 王伟 李光 张胜 </t>
  </si>
  <si>
    <t>山西晋中高速公路分公司祁临段应急物资用房工程造价咨询合同</t>
  </si>
  <si>
    <t>山西晋中张兰收费站改扩建工程造价咨询合同</t>
  </si>
  <si>
    <t>鹤大高速佳木斯过境段政府和社会资本合作（PPP）项目前期工作费三方转让协议</t>
  </si>
  <si>
    <t>黑龙江省高速公路建设局/佳木斯中交龙建投资建设有限公司</t>
  </si>
  <si>
    <t>费用转让</t>
  </si>
  <si>
    <t>项目前期工作费三方转让</t>
  </si>
  <si>
    <t>北京电影小镇一期A1、B地块建筑改造设计项目招标代理协议书</t>
  </si>
  <si>
    <t>建筑改造设计招标</t>
  </si>
  <si>
    <t>北京电影小镇建筑改造工程项目施工监理招标代理协议书</t>
  </si>
  <si>
    <t>施工监理招标</t>
  </si>
  <si>
    <t>北京电影小镇A1、B地块业态优化及改造方案设计项目采购招标代理协议书</t>
  </si>
  <si>
    <t>业态优化及改造方案设计招标</t>
  </si>
  <si>
    <t>G60醴陵至娄底高速公路扩容工程政府和社保资本合作（PPP）实施方案编制咨询合同（附安全生产合同）</t>
  </si>
  <si>
    <t>湖南省交通规划勘察设计院有限公司</t>
  </si>
  <si>
    <t>实施方案咨询</t>
  </si>
  <si>
    <t>（PPP）实施方案编制</t>
  </si>
  <si>
    <t>吉黑高速山河（吉黑省界）至哈尔滨（永源镇）段项目勘察设计招标代理服务合同</t>
  </si>
  <si>
    <t>宽带专线接入合同书（2020年度）</t>
  </si>
  <si>
    <t>宽带服务</t>
  </si>
  <si>
    <t>北京商联达科技有限公司商城网站服务合同</t>
  </si>
  <si>
    <t>北京商联达科技有限公司</t>
  </si>
  <si>
    <t>网站服务</t>
  </si>
  <si>
    <t>基于物联网的智能交通信息处理及控制管理系统研发及产业化招标委托协议</t>
  </si>
  <si>
    <t>软件服务</t>
  </si>
  <si>
    <t>基于物联网的智能交通信息处理及控制管理系统研发及产业化项目的软件及服务、设备采购招标</t>
  </si>
  <si>
    <t>贵州省都匀至安顺公路机电工程施工招标项目造价咨询合同</t>
  </si>
  <si>
    <t>贵州桦利建设项目管理有限公司</t>
  </si>
  <si>
    <t>贵州省都匀至安顺公路桥梁荷载试验、桥梁外观与实体检测及交（竣）工验收试验检测服务项目造价咨询合同</t>
  </si>
  <si>
    <t>贵州省遵义至毕节高速公路金沙服务区公共卫生间改扩建工程项目造价咨询合同</t>
  </si>
  <si>
    <t>贵州省望谟至安龙高速公路竣工验收试验检测服务项目造价咨询合同</t>
  </si>
  <si>
    <t>山西省交通运输厅青兰国家高速公路长治至延安联络线（G2211）山西境黎城至霍州段PPP项目社会资本招标代理合同协议书</t>
  </si>
  <si>
    <t>山西省交通运输厅</t>
  </si>
  <si>
    <t>编制资格预审文件、编制招标文件及负责招标过程</t>
  </si>
  <si>
    <t>西宁南绕城公路曹家堡互通匝道完善工程招标代理合同</t>
  </si>
  <si>
    <t>本项目标段范围内的路基、路面、防护、桥涵、绿化等工程的施工及监理的招标代理工作</t>
  </si>
  <si>
    <t>川口至官亭公路病毒整治工程和官亭（峡口）至大河家段公路主体工程交工前工程质量检测报价邀请代理服务合同</t>
  </si>
  <si>
    <t>青海交通投资有限公司</t>
  </si>
  <si>
    <t>检测服务邀标</t>
  </si>
  <si>
    <t>负责编制工程服务的报价邀请文件及组织开标工作等</t>
  </si>
  <si>
    <t>天峻至木里公路病害整治工程竣工决算编制报价邀请代理服务合同</t>
  </si>
  <si>
    <t>决算编制邀标</t>
  </si>
  <si>
    <t>青海民和川垣至甘肃海石湾大桥建设工程交工前工程质量检测报价邀请代理服务合同</t>
  </si>
  <si>
    <t>质量检测邀标</t>
  </si>
  <si>
    <t>国道109线乐都至平安段公路改扩建工程洪水镇至民小路连接线下穿兰青铁路立交工程施工招标代理合同</t>
  </si>
  <si>
    <t>招标代理工作</t>
  </si>
  <si>
    <t>国道338线盘坡经大通河桥至热水段改建工程施工及施工监理招标代理合同</t>
  </si>
  <si>
    <t>青海地方铁路建设投资有限公司</t>
  </si>
  <si>
    <t>王伟</t>
  </si>
  <si>
    <t>G569曼德拉至大通公路终点主线收费站施工招标代理合同</t>
  </si>
  <si>
    <t>广灵等16对服务区加油站改造项目储油罐采购、加油机和三次油气回收设备采购项目招标代理合同</t>
  </si>
  <si>
    <t>山西路晟交通建筑设计有限公司</t>
  </si>
  <si>
    <t>魏超、房启军</t>
  </si>
  <si>
    <t>基于物联网的智能交通信息处理及控制管理系统研发及产业化招标委托补充协议</t>
  </si>
  <si>
    <t>重新招标代理工作</t>
  </si>
  <si>
    <t>宜都至来凤高速公路鹤峰东段招标代理补充合同</t>
  </si>
  <si>
    <t>湖北交投鹤峰东高速公路有限公司</t>
  </si>
  <si>
    <t>负责施工承包合同、施工承包合同预算、施工承包合同预算转工程量清单、技术规范、计量规则的编制</t>
  </si>
  <si>
    <t>哈尔滨至肇源高速公路政府和社保资本合作（PPP）项目前期工作费三方转让协议</t>
  </si>
  <si>
    <t>甲方：黑龙江省高速公路建设局
乙方：黑龙江省哈肇高速公路投资建设有限公司</t>
  </si>
  <si>
    <t>贵州高速公路集团有限公司（2020年）招标（采购）代理委托协议</t>
  </si>
  <si>
    <t>被抽中（或直接委托）项目的招标（采购）工作</t>
  </si>
  <si>
    <t>李晓飞、周佳彬、李楠</t>
  </si>
  <si>
    <t>贵州省都匀至安顺公路房建工程装饰装修设计施工总承包招标造价咨询合同文件（付）</t>
  </si>
  <si>
    <t>北京电影小镇租赁竞争性磋商招标代理协议书</t>
  </si>
  <si>
    <t>国道丹东至阿勒泰公路穆棱（八面通镇）至黑山村（鸡穆界）段改扩建工程项目招标代理合同</t>
  </si>
  <si>
    <t>国道丹阿公路穆棱至鸡西段改扩建工程项目办</t>
  </si>
  <si>
    <t>本项目交通安全设施工程施工、房建工程施工、房建工程施工监理招标</t>
  </si>
  <si>
    <t>国道丹东至阿勒泰公路黑山村（鸡穆界）至鸡西段改扩建工程项目招标代理合同</t>
  </si>
  <si>
    <t>本项目交通安全设施工程施工、机电工程施工、机电工程施工监理、房建工程施工、房建工程施工监理招标</t>
  </si>
  <si>
    <t>黑河--布拉戈维申斯克黑龙江（阿穆尔河）大桥工程建设项目管养设备采购招标代理合同</t>
  </si>
  <si>
    <t>京哈高速拉林河（吉黑省界）至哈尔滨段改扩建工程项目比选类工程、货物或服务比选代理服务合同</t>
  </si>
  <si>
    <t>京哈高速公路拉林河（吉黑省界）至哈尔滨段改扩建工程项目办</t>
  </si>
  <si>
    <t>比选代理工作</t>
  </si>
  <si>
    <t>京哈高速拉林河（吉黑省界）至哈尔滨段改扩建工程项目招标代理合同及补充协议</t>
  </si>
  <si>
    <t>2019-3-18/2019-6-12</t>
  </si>
  <si>
    <t>京哈高速拉林河（吉黑省界）至哈尔滨段改扩建工程项目管养设备采购招标代理合同</t>
  </si>
  <si>
    <t>采购招标代理工作</t>
  </si>
  <si>
    <t>京哈高速拉林河（吉黑省界）至哈尔滨段改扩建工程项目咨询服务类招标代理合同</t>
  </si>
  <si>
    <t>咨询服务类招标</t>
  </si>
  <si>
    <t>2019年北京市市管城市道路掘路修复工程（含架空线）施工监理招标委托协议</t>
  </si>
  <si>
    <t>魏超、王淑波</t>
  </si>
  <si>
    <t>2019年北京市市管城市道路架空线入地掘路修复工程施工招标委托协议</t>
  </si>
  <si>
    <t>2019年静安西街等5项大修工程施工项目和监理项目招标委托协议</t>
  </si>
  <si>
    <t>招标代理工作、编制工程量清单、招标控制价等</t>
  </si>
  <si>
    <t>长安街及其延长线（三环内）市容环境景观提升--地下通道景观提升工程施工和监理项目招标代理协议</t>
  </si>
  <si>
    <t>通州区九德路（京哈高速公路-潞西路）改建工程项目招标代理协议书</t>
  </si>
  <si>
    <t>北京市交通委员会政局通州公路分局</t>
  </si>
  <si>
    <t>呼北国家高速公路山西离石至隰县段工程项目招标代理协议书</t>
  </si>
  <si>
    <t>山西离隰高速公路有限公司</t>
  </si>
  <si>
    <t>王淑波、房启军、魏超</t>
  </si>
  <si>
    <t>山西省公路局朔州分局省道宁应线铺龙湾至陈家堡段改扩建工程招标代理协议书</t>
  </si>
  <si>
    <t>勘察设计、路基、路面、桥涵、隧道、交通安全设施等工程的施工、施工监理、试验检测及与本项目相关的环评水保等专项评估、杆线路拆迁、重要设备、材料等 招标或采购的代理服务</t>
  </si>
  <si>
    <t>山西省晋城书院街西延及交叉工程招标代理服务委托合同</t>
  </si>
  <si>
    <t>堪察设计、施工、监理</t>
  </si>
  <si>
    <t>工程可行性研究、勘察设计及主体土建工程施工的招标代理工作</t>
  </si>
  <si>
    <t>山西G2211山西境黎城至霍州段“阳光工程一体化平台”等项目设计与开发项目招标代理合同</t>
  </si>
  <si>
    <t>山西黎霍高速公路有限公司</t>
  </si>
  <si>
    <t>设计开发</t>
  </si>
  <si>
    <t>山西G2211山西境黎城至霍州段施工监理招标代理合同</t>
  </si>
  <si>
    <t>山西G2211山西境黎城至霍州段第三方评估机构项目采购代理服务合同</t>
  </si>
  <si>
    <t>20020-6-20</t>
  </si>
  <si>
    <t>山西G2211山西境黎城至霍州段造价咨询服务采购代理服务合同</t>
  </si>
  <si>
    <t>采购代理服务工作以及上述采购项目的最高限价编制</t>
  </si>
  <si>
    <t>山西G2211山西境黎城至霍州段选行用地报批咨询服务采购代理服务合同</t>
  </si>
  <si>
    <t>山西G2211山西境黎城至霍州段社会稳定风险评估采购代理服务合同</t>
  </si>
  <si>
    <t>采购代理服务工作、社会稳定风险评估以及上述采购项目的最高限价编制</t>
  </si>
  <si>
    <t>山西G2211山西境黎城至霍州段林地报批咨询服务采购代理服务合同</t>
  </si>
  <si>
    <t>采购代理服务工作、林地报批咨询服务以及上述采购项目的最高限价编制</t>
  </si>
  <si>
    <t>山西省交通开发投资集团有限公司信息化基础管理平台建设采购代理服务合同</t>
  </si>
  <si>
    <t>吕梁高速各基层单位职工浴室、卫生间维修改造工程采购代理服务合同</t>
  </si>
  <si>
    <t>山西交通控股集团有限公司吕梁南高速公路分公司</t>
  </si>
  <si>
    <t>山西省国省道路面改造工程（临汾境内）PPP总承包项目经理部全过程招标咨询服务合同</t>
  </si>
  <si>
    <t>中国公路工程咨询集团有限公司山西省国省道路面改造工程（临汾境内）PPP总承包项目经理部</t>
  </si>
  <si>
    <t>招标程序咨询、招标法规咨询、招标文件或合同编号咨询（如有）</t>
  </si>
  <si>
    <t>房启军、魏超</t>
  </si>
  <si>
    <t>2020年</t>
  </si>
  <si>
    <t>山西省国省道路面改造工程（临汾境内）PPP项目沥青采购招标委托协议</t>
  </si>
  <si>
    <t>国道208线晋中长治界至屯留小河北段改扩建工程社会资本方招标代理和PPP项目咨询服务合同协议书</t>
  </si>
  <si>
    <t>山西省公路局长治分局</t>
  </si>
  <si>
    <t>PPP咨询及招标代理</t>
  </si>
  <si>
    <t>PPP咨询服务和社会资本方招标代理工作</t>
  </si>
  <si>
    <t>国家重点公路建设项目（2018年度第五批）初步设计审批技术咨询服务项目委托招标代理合同</t>
  </si>
  <si>
    <t>新疆S21阿勒泰至乌鲁木齐公路建设一期工程造价咨询合同（付）</t>
  </si>
  <si>
    <t>杭州湾地区环线并行线G92N（杭甬高速复线）宁波段二期甬绍界至小曹娥互通段公路工程勘察设计及勘察设计咨询（含 勘察监理）招标代理服务委托合同</t>
  </si>
  <si>
    <t>宁波市高等级公路建设指挥部</t>
  </si>
  <si>
    <t>杭州湾地区环线并行线G93N（杭甬高速复线）宁波段二期甬绍界至小曹娥互通段公路工程勘察设计及勘察设计咨询（含 勘察监理）招标代理费用支付补充合同协议书</t>
  </si>
  <si>
    <t>甲方：宁波杭甬复线二期高速公路有限公司
乙方：宁波市高等级公路建设指挥部</t>
  </si>
  <si>
    <t>兰州至海口国家高速公路重庆至遵义段（贵州境）扩容工程交通安全设施工程造价咨询合同文件（付）</t>
  </si>
  <si>
    <t>贵州省公路开发有限责任公司2020-2022年招标代理机构备选库比选入围协议书</t>
  </si>
  <si>
    <t>招标代理入围合同</t>
  </si>
  <si>
    <t>杭州湾地区环线并行线G92N（杭甬高速复线）宁波段二期甬绍界至小曹娥互通段地面道路工程勘察设计招标代理服务委托合同</t>
  </si>
  <si>
    <t>湖南省益常高速捆绑城龙高速投资人招标代理委托合同（政府采购合同协议书）</t>
  </si>
  <si>
    <t>丹阿公路逊孙界至黑河段改扩建工程勘察设计招标代理合同</t>
  </si>
  <si>
    <t>黑龙江省公路事业发展中心</t>
  </si>
  <si>
    <t>国道208线长治司马至晋城金村段改扩建工程招标代理服务及建设期合同咨询服务合同协议书</t>
  </si>
  <si>
    <t>BOT投资人招标、勘察设计、监理</t>
  </si>
  <si>
    <t xml:space="preserve">对社会资本方（如采用PPP模式)、BOT投资人（如采用BOT模式)、勘察设计、施工、监理以及工程建设有关的重要设备、材料等的采购招标代理工作及施工工程量清单复核、最高限价编制工作，起草相关合同（含PPP合同，如有）、组织合同谈判与签署（含PPP合同，如有）。本项目建设期有关合同的初审及咨询等相关工作                      </t>
  </si>
  <si>
    <t>湖北武穴长江公路大桥路面工程造价咨询合同（付）</t>
  </si>
  <si>
    <t>湖北棋盘洲长江公路大桥路面工程造价咨询合同（付）</t>
  </si>
  <si>
    <t>宜都至来凤高速公路鹤峰东段土建工程造价咨询合同（付）</t>
  </si>
  <si>
    <t>宁波舟山港石浦港区沈海高速连接线新桥至石浦段路在工程（含绿化及预埋管线工程）、交通安全设施工程造价咨询合同（付）</t>
  </si>
  <si>
    <t>G5513益阳至常德高速公路扩容工程政府和社会资本合作（PPP）实施方案及相关报告编制单位合同</t>
  </si>
  <si>
    <t>本项目政府和社会资本合作（PPP）实施方案、物有所值评价、财政承受能力论证报告编制的咨询服务。待PPP实施方案通过评审后启动其它两个相关报告的编制</t>
  </si>
  <si>
    <t>沅陵至辰溪高速公路特许经营项目实施方案编制咨询合同</t>
  </si>
  <si>
    <t>本项目实施方案编制的咨询服务工作</t>
  </si>
  <si>
    <t>永州至新宁高速公路特许经营项目实施方案编制咨询合同</t>
  </si>
  <si>
    <t xml:space="preserve">永州至新宁高速公路特许经营项目实施方案编制咨询合同补充协议 </t>
  </si>
  <si>
    <t>湖南省永新高速公路建设开发有限公司</t>
  </si>
  <si>
    <t>要求甲方与乙方完成合同转换</t>
  </si>
  <si>
    <t>茶陵至常宁高速公路特许经营项目实施方案编制咨询合同</t>
  </si>
  <si>
    <t>德州至上饶高速公路祁门至晥赣界段新建工程政府和社会酱合同（PPP）咨询服务项目合同协议书</t>
  </si>
  <si>
    <t>本项目政府和社会资本合作（PPP）咨询服务（PPP项目社会资本招标代理）的全部工作</t>
  </si>
  <si>
    <t>采购广西崇左市边境互联互通改善项目国际招标代理服务合同</t>
  </si>
  <si>
    <t>崇左市交通运输局</t>
  </si>
  <si>
    <t>亚行</t>
  </si>
  <si>
    <t>本项目中所涉及的工程招标、货物招标、服务招标、非咨询类服务、咨询类服务以及亚洲基础设施投资银行要求与本项目相关的其它招标代理事宜等</t>
  </si>
  <si>
    <t>炉红山至慈利（湘鄂界）高速公路两评报告咨询委托合同</t>
  </si>
  <si>
    <t>两评</t>
  </si>
  <si>
    <t>炉红山至慈利（湘鄂界）高速公路实施方案咨询委托合同</t>
  </si>
  <si>
    <t>实施方案</t>
  </si>
  <si>
    <t>桑植至龙山高速公路实施方案咨询委托合同</t>
  </si>
  <si>
    <t>G60醴陵至娄底高速公路扩容工程实施方案咨询委托合同</t>
  </si>
  <si>
    <t>G5513益阳至常德高速公路扩容工程实施方案及相关报告咨询委托合同</t>
  </si>
  <si>
    <t>湖南省经营性高速公路项目投资人招标文件示范文本（含特许经营模式和政府和社会资本合作PPP两种建设模式）编制咨询委托合同</t>
  </si>
  <si>
    <t>沅陵至辰溪高速公路特许经营项目咨询委托合同</t>
  </si>
  <si>
    <t>呼北国家高速公路(G59）张家界至官庄段、新化至武冈段政府和社会资本合作（PPP）、临武至连州（湘粤界）高速公路特许经营项目实施方案审查咨询委托合同</t>
  </si>
  <si>
    <t>哈尔滨至肇源高速公路建设项目政府和社会资本合作（PPP）咨询委托合同</t>
  </si>
  <si>
    <t>唐山市东湖片区生态修复和基础设施建设项目政府和社会资本合作（PPP）咨询委托合同</t>
  </si>
  <si>
    <t>京昆国家高速公路太原绕城西北段改线工程（太原西北二环）高速公路项目政府和社会资本合同（PPP）咨询委托合同</t>
  </si>
  <si>
    <t>山西交控高速公路隧道提升专项工程设计施工总承包、监理及交（竣）工验收质量检测招标代理协议书</t>
  </si>
  <si>
    <t>山西交通科学研究院集团有限公司</t>
  </si>
  <si>
    <t>青兰国家高速公路长治至延安联络线（G2211）山西境黎城至霍州段土建工程第TJ3、TJ4标段施工采购代理服务合同</t>
  </si>
  <si>
    <t>采购代理服务工作</t>
  </si>
  <si>
    <t>青兰国家高速公路长治至延安联络线（G2211）山西境黎城至霍州段菩提山风景名胜区段选址研究采购代理服务合同</t>
  </si>
  <si>
    <t>选址研究</t>
  </si>
  <si>
    <t>青兰国家高速公路长治至延安联络线（G2211）山西境黎城至霍州段霍泉域水环境影响评价采购代理服务合同</t>
  </si>
  <si>
    <t>水环境评价</t>
  </si>
  <si>
    <t>上海至昆明国家高速公路醴陵至娄底段扩容工程捆绑沅陵至辰溪和永州至新宁高速公路工程财务测算分析咨询合同</t>
  </si>
  <si>
    <t>财务测算分析</t>
  </si>
  <si>
    <t>高速公路财务测算分析咨询工作。搭建财务数学模型，进行捆绑测算并结合政策法规和市场环境分析测算结果，编制财务测算报告</t>
  </si>
  <si>
    <t>呼北国家高速公路（G59）张家界至官庄段、新化至武冈段政府和社会资本合作（PPP）、临武至连州（湘粤界）高速公路特许经营项目实施方案审查咨询合同</t>
  </si>
  <si>
    <t>实施方案审查咨询工作。主要包括财务测算结果的符合与校验、实施方案编制内容的审查及实施方案是否符合市场预期的评估</t>
  </si>
  <si>
    <t>G59呼北高速新化至新宁（武冈）段捆绑G59呼北高速张家界至官庄段工程PPP项目财务测算分析咨询合同</t>
  </si>
  <si>
    <t>G5513益阳至常德高速公路扩容工程PPP项目捆绑城步至龙胜（湘桂界）高速公路特许经营项目财务测算分析咨询合同</t>
  </si>
  <si>
    <t>湖南省经营性高速公路项目投资人招标文件示范文本（含特许经营模式和政府和社会资本合作PPP两种建设模式）编制咨询服务合同</t>
  </si>
  <si>
    <t>投资人招标文件示范文本编制</t>
  </si>
  <si>
    <t>炉红山至慈利（湘鄂界）高速公路政府和社会资本合同（PPP）实施方案编制合同</t>
  </si>
  <si>
    <t>实施方案编制等</t>
  </si>
  <si>
    <t>桑植至龙山高速公路政府和社会资本合同（PPP）实施方案编制咨询合同</t>
  </si>
  <si>
    <t>炉红山至慈利（湘鄂界）高速公路工程PPP项目“两评”咨询服务合同</t>
  </si>
  <si>
    <t>全面统筹负责本ppp项目的“两评”（即物有所值评价和财政承受能力论证）咨询服务工作</t>
  </si>
  <si>
    <t>G59呼北高速炉红山（湘鄂界）至慈利段捆绑G5515张南高速桑植至龙山段工程财务测算分析咨询合同</t>
  </si>
  <si>
    <t>唐山市东湖片区生态修复和基础设施建设PPP项目前期咨询服务费用支付协议</t>
  </si>
  <si>
    <t>唐山市开平区住房和城乡建设局/唐山云之苑综合管理服务有限公司</t>
  </si>
  <si>
    <t>前期咨询服务和招标工作服务等</t>
  </si>
  <si>
    <t>天峻至木里公路病害整治完善工程施工招标代理服务合同</t>
  </si>
  <si>
    <t>招标代理服务，包括：编制招标文件、文件审查、投标人报名、出售招标文件、发布补遗书、组织开评标、发布中标通知书以及协助甲方处理招标期间的投诉事项等</t>
  </si>
  <si>
    <t>贵州省都匀至安顺公路外接高压配变电工程造价咨询合同（付）</t>
  </si>
  <si>
    <t>茶陵至常宁高速公路特许经营项目实施方案编制咨询合同（-与项目公司签订初充合同）</t>
  </si>
  <si>
    <t>湖南省茶常高速公路建设开发有限公司</t>
  </si>
  <si>
    <t>实施方案编制的咨询服务</t>
  </si>
  <si>
    <t>北京经济技术开发区多功能综合杆改造工程投融资及财务测算的咨询服务委托合同（只做了一半，见726）</t>
  </si>
  <si>
    <t>北京亦庄数字基础设施科技发展有限公司</t>
  </si>
  <si>
    <t>包括投融资方案、风险分析及政策咨询，并进行财务测算分析等</t>
  </si>
  <si>
    <t>新疆S339麦盖提-塔中-若羌公路、S341阿拉山口-克拉玛依公路建设项目工可及初步设计招标代理合同</t>
  </si>
  <si>
    <t>工可及初步设计</t>
  </si>
  <si>
    <t>工可及初步设计招标代理服务</t>
  </si>
  <si>
    <t>张胜</t>
  </si>
  <si>
    <t>新疆维吾尔自治区G217线独山子至巩乃斯至库车公路建设项目初步设计招标代理合同</t>
  </si>
  <si>
    <t>初步设计阶段的勘察设计招标代理服务</t>
  </si>
  <si>
    <t>山西交通科学研究院集团有限公司机关总部企业年金委托管理服务项目招标代理合同</t>
  </si>
  <si>
    <t>招标代理服务，包括：分布公告、发售资格预审文件和招标文件、组织标前会、组织开标及评标会议、公示中标结果，发放中标通知书、提交招标档案资料等</t>
  </si>
  <si>
    <t>国道207线长治晋城界至陵川段升级改造工程项目政府和社会资本合作（PPP）咨询服务（补充）合同</t>
  </si>
  <si>
    <t>编制PPP项目实施方案、物有所值评价报告、财政承受能力论证报告并提供相关咨询服务</t>
  </si>
  <si>
    <t>黑龙江省普通国省干线公路质量提升项目政府和社会资本合作（PPP）咨询服务合同</t>
  </si>
  <si>
    <t>黑龙江省交通基础设施建设投资有限公司</t>
  </si>
  <si>
    <t>咨询服务、招标</t>
  </si>
  <si>
    <t>编制实施方案、物有所值评价报告、财政承受能力评估报告并配合甲方完成申报审批工作；编制政府和社会资本合作(ppp)资格预审文件(如需）和招标文件；组织社会资本招标采购；编制ppp项目合同；协助实施机构进行ppp合同谈判，并根据谈判情况进行相关合同文件的修改、完善；完成项目建设期间的年度绩效考核评价、子项目及整体项目交工验收后的绩效评价；协助项目实施机构开展绩效监控、管理制度评估、组织项目技术咨询等日常管理咨询</t>
  </si>
  <si>
    <t>鹤伊等7个项目政府和社会资本合作（PPP）咨询服务机构ZX1标段咨询服务合同</t>
  </si>
  <si>
    <t>编制ppp项目实施方案、物有所值评价报告、财政承受能力评估报告并配合甲方完成申报审批工作；编制政府和社会资本合作(ppp)资格预审文件(如需）和招标文件；组织社会资本招标工作；编制投资协议和ppp项目合同；协助实施机构进行市场测试、ppp合同谈判，并根据谈判情况进行相关合同文件的修改、完善；完成项目建设期间的年度绩效考核评价、项目交工验收后的绩效评价；协助项目实施机构开展绩效监控、管理制度评估、组织项目技术咨询等日常管理咨询</t>
  </si>
  <si>
    <t>G4京港澳高速耒阳大市至宜章段扩容工程及零陵至道县高速公路项目招商相关咨询服务工作政府采购合同协议书</t>
  </si>
  <si>
    <t>实施方案、物有所值评价报告、财政承受能力论证报告编制、社会资本方招标工作、《投资协议》编制与谈判、《ppp项目特许经营合同》编制与谈判、《股东协议》拟定、《公司章程》拟定等内容、高速公路项目捆绑招标财务测算等</t>
  </si>
  <si>
    <t>周佳彬</t>
  </si>
  <si>
    <t>G59呼北高速炉红山（湘鄂界）至慈利段高速公路项目招标代理委托合同</t>
  </si>
  <si>
    <t>湖南中铁炉慈桑龙高速公路有限公司</t>
  </si>
  <si>
    <t>提供招标前期咨询；招标方案编制；招标文件备案；招标公告发布；资格预审文件（如有）、竞争性谈判文件、招标文件的编制、印刷和发售；资格预审申请文件（如有）、响应文件和投标文件的收取；组织资格预审申请文件（如有）、响应文件和招标文件评审，组织标前踏勘（如有）及答疑；开标会议、清标及评标会议；组织合同谈判并向中标人发中标通知书</t>
  </si>
  <si>
    <t>G5515张南高速公路桑植至龙山段高速公路项目招标代理委托合同</t>
  </si>
  <si>
    <t>贵州省六枝至安龙高速公路总监办、驻地办及中心试验室招标项目招标代理合同</t>
  </si>
  <si>
    <t>贵州省六安高速公路有限公司</t>
  </si>
  <si>
    <t>招标文件编制包括招标公告、投标人须知、投标文件格式、评标办法及拟签订合同协议主要条款等；发布招标公告；招标文件审查会；出版、出售招标文件；发布补遗书，回答投标人咨询；组织清标、开展开标、评标工作，协助评标委员会完成评标报告；发中标通知书；协助招标人处理招标期间的投诉事项；拟定合同协议；协助招标人与中标人之间的合同谈判与签订；承担招标代理期间的会务费及专家评审、咨询费等</t>
  </si>
  <si>
    <t>湖北省棋盘洲长江公路大桥项目招标代理补充合同（二）</t>
  </si>
  <si>
    <t>约定公开招标的工程，执行原合同的权力和义务；原计划招标，现不再进行招标的二期路面工程和三期交安、绿化工程等相关工作（包括但不限于编制工程量清单、计量规则；编制技术规范并负责解释；编制施工承包合同预算；协助合同谈判和澄清工作、相关资料汇编成册归档等）</t>
  </si>
  <si>
    <t>湖北省武穴长江公路大桥项目招标代理补充合同（二）</t>
  </si>
  <si>
    <t>山西省交通建设中心2020-2022年招标代理机构合同（第一包段）</t>
  </si>
  <si>
    <t>山西省交通建设中心</t>
  </si>
  <si>
    <t>全过程招标</t>
  </si>
  <si>
    <t>包括但不限于工程可行性研究报告、环境影响评价、水土保持方案等内容的招标代理；招标或采购项目最高限价的编制及其他相关服务工作；采购人委托的其他招标或采购代理</t>
  </si>
  <si>
    <t>青兰国家高速公路长治至延安联络线（G2211）山西境黎城至霍州段使用木地林木采伐设计采购代理服务合同</t>
  </si>
  <si>
    <t>谈判采购</t>
  </si>
  <si>
    <t>采购代理服务，及采购项目的最高限价编制。包括：发布公告、文件编制、资格预审和相关调研、组织踏勘现场、各项会议组织、评审专家差旅和劳务费、公正和法律咨询费、采购结果通知、采购咨询、其他代理服务范围内的费用</t>
  </si>
  <si>
    <t>青兰国家高速公路长治至延安联络线（G2211）山西境黎城至霍州段沁河大桥对孔家坡水文站水文监测影响分析评价采购代理服务合同</t>
  </si>
  <si>
    <t>青兰国家高速公路长治至延安联络线（G2211）山西境黎城至霍州段工程商业保险经纪服务及建筑/安装工程一切险及第三者责任险采购代理服务合同</t>
  </si>
  <si>
    <t>采购代理服务。包括：发布公告、文件编制、资格预审和相关调研、组织踏勘现场、各项会议组织、评审专家差旅和劳务费、公正和法律咨询费、采购结果通知、采购咨询、其他代理服务范围内的费用</t>
  </si>
  <si>
    <t>青兰国家高速公路长治至延安联络线（G2211）山西境黎城至霍州段环保、水保监测咨询服务采购代理服务合同</t>
  </si>
  <si>
    <t>鹤大高速佳木斯过境段项目施工监理、试验检测机构招标代理服务费三方转让协议</t>
  </si>
  <si>
    <t>甲方：黑龙江省公路建设中心
乙方：佳木斯中交龙建投资建设有限公司</t>
  </si>
  <si>
    <t>监理、试验检测</t>
  </si>
  <si>
    <t>施工监理、试验检测机构招标工作完成后费用转让协议</t>
  </si>
  <si>
    <t>（2019-9-1）</t>
  </si>
  <si>
    <t>鹤哈高速鹤岗至伊春段等六个公路建设项目工可内审咨询机构采购代理合同</t>
  </si>
  <si>
    <t>黑龙江省公路建设中心</t>
  </si>
  <si>
    <t>工程可行性研究报告的审查等技术咨询服务的采购代理服务</t>
  </si>
  <si>
    <t>湖北省棋盘洲长江公路大桥项目招标代理补充合同（一）</t>
  </si>
  <si>
    <t>约定公开招标的工程，执行原合同的权力和义务；原计划招标，现不再进行招标的一期土建工程等相关工作（包括但不限于编制工程量清单、计量规则；编制技术规范并负责解释；编制施工承包合同预算；协助合同谈判和澄清工作、相关资料汇编成册归档等）</t>
  </si>
  <si>
    <t>湖北省武穴长江公路大桥项目招标代理补充合同（一）</t>
  </si>
  <si>
    <t>湖北省石首长江公路大桥项目招标代理补充合同（二）</t>
  </si>
  <si>
    <t>湖北石首长江公路大桥有限公司</t>
  </si>
  <si>
    <t>约定公开招标的工程，执行原合同的权力和义务；原计划招标，现不再进行招标的相关工作（包括编制工程量清单、编制技术规范并负责解释；编制施工承包合同预算；协助合同谈判和澄清工作、协助审计、相关资料汇编成册归档等）</t>
  </si>
  <si>
    <t>阿克苏公路管理局2020年省道210线K162至K332段公路安全生命防护工程、国道217线K1094+45/至K1152段和国道580线K194+200至K290段标线工程招标代理服务合同</t>
  </si>
  <si>
    <t>阿克苏公路管理局</t>
  </si>
  <si>
    <t>本项目的施工、监理等招标</t>
  </si>
  <si>
    <t>阿克苏公路管理局2020年国道219线K1832+197至K1905+297段公路安全生命防护工程招标代服务合同</t>
  </si>
  <si>
    <t>2020年阿克苏公路管理局迎国检路面病害自治工程招标代理服务合同</t>
  </si>
  <si>
    <t>阿克苏公路管理局盐水沟、二牧场等3个收费站和阿克苏国防交通物资储备仓库环保锅炉改造项目招标代理合同</t>
  </si>
  <si>
    <t>本项目的公开招标代理业务</t>
  </si>
  <si>
    <t>阿克苏公路管理局2020年公路小修养护工程G580线K293+000-K275+600段沙害养护工程招标代理服务合同</t>
  </si>
  <si>
    <t>本项目的施工招标</t>
  </si>
  <si>
    <t>和田公路管理局2020年省道216线K73+400至K102+600段公路安全生命防护工程招标代理服务合同</t>
  </si>
  <si>
    <t>和田公路管理局</t>
  </si>
  <si>
    <t>施工、监理、交（竣）工验收</t>
  </si>
  <si>
    <t>本项目的施工、监理、交（竣）工验收质量检测等招标</t>
  </si>
  <si>
    <t>和田公路管理局2020年专用公路721线K0至K27段公路安全生命防护工程招标代理服务合同</t>
  </si>
  <si>
    <t>和田公路管理局省道增设旅游标志工程招标代理服务合同</t>
  </si>
  <si>
    <t>和田公路管理局室外排水管网修缮项目招标代理服务合同</t>
  </si>
  <si>
    <t>和田公路管理局红白山服务区太阳能更换项目招标代理服务合同</t>
  </si>
  <si>
    <t>和田公路管理局2020年小修养护内部专项工程招标代理服务合同</t>
  </si>
  <si>
    <t>和田公路管理局墨玉分局S326线K73-K130段沥青破损严重路段罩面工程招标代理服务合同</t>
  </si>
  <si>
    <t>和田公路管理局墨玉分局</t>
  </si>
  <si>
    <t>新疆G580线K566至K570段防沙体系修复工程招标代理服务合同</t>
  </si>
  <si>
    <t>和田公路管理局和田分局</t>
  </si>
  <si>
    <t>新疆G315线K2090+050至K2093+300段防沙体系修复工程招标代理服务合同</t>
  </si>
  <si>
    <t>和田公路管理局民丰分局</t>
  </si>
  <si>
    <t>国道109线乐都至平安段公路改扩建工程招标代理合同补充协议</t>
  </si>
  <si>
    <t>青海省交通建设管理有限公司</t>
  </si>
  <si>
    <t>本项目路面施工和监理招标、机电工程招标，含编制工程量清单终稿</t>
  </si>
  <si>
    <t>国道109线乐都至平安段公路改扩建工程洪水镇至民小路连接线下穿兰青铁路立交工程施工招标代理合同补充协议</t>
  </si>
  <si>
    <t>本项目立交工程施工招标，含编制工程量清单终稿</t>
  </si>
  <si>
    <t>西宁南绕城公路东延柳湾互通至平安东段公路工程招标代理合同补充协议</t>
  </si>
  <si>
    <t>本项目施工招标，含编制工程量清单终稿</t>
  </si>
  <si>
    <t>西宁南绕城公路东延段窑房枢纽互通新建E、F匝道工程招标代理服务合同</t>
  </si>
  <si>
    <t>路基、路面、桥涵、交通安全设施、绿化等工程的施工招标代理服务工作</t>
  </si>
  <si>
    <t>国道213线祁连县城叉路口至大通河桥段公路改建工程招标代理服务合同</t>
  </si>
  <si>
    <t>路面、交通安全设施、机电、房建等工程的施工招标代理服务工作</t>
  </si>
  <si>
    <t>醉美龙江331边防路大中修项目施工图勘察设计招标代理服务合同</t>
  </si>
  <si>
    <t>施工图勘察设计招标</t>
  </si>
  <si>
    <r>
      <t>黑龙江省普通国省干线公路质量提升专项工程P</t>
    </r>
    <r>
      <rPr>
        <sz val="10"/>
        <rFont val="宋体"/>
        <charset val="134"/>
      </rPr>
      <t>PP模式可行性论证</t>
    </r>
    <r>
      <rPr>
        <sz val="10"/>
        <rFont val="宋体"/>
        <charset val="134"/>
      </rPr>
      <t>咨询服务合同</t>
    </r>
  </si>
  <si>
    <t>可行性研究论证</t>
  </si>
  <si>
    <t>ppp项目可行性论证报告，并配合甲方完成申报审批工作</t>
  </si>
  <si>
    <t>醉美龙江331边防路一期（一批）施工总承包和PPP社会资本招标代理服务合同</t>
  </si>
  <si>
    <t>施工总承包、PPP招标</t>
  </si>
  <si>
    <t>本项目A部分的施工总承包招标，包括A部分的路基、路面、桥涵、隧道、交叉、环保绿化等全部工程施工及缺陷责任期修复的全部内容招标以及B部分政府和社会资本合作（ppp)项目的社会资本招标。</t>
  </si>
  <si>
    <t>醉美龙江331边防路一期（一批）施工总承包项目代建管理服务招标</t>
  </si>
  <si>
    <t>本项目代建管理服务招标</t>
  </si>
  <si>
    <t>醉美龙江331边防路一期（一批）施工总承包项目施工监理招标代理合同</t>
  </si>
  <si>
    <t>本项目施工监理招标</t>
  </si>
  <si>
    <t>山西交控集团吕梁南高速公路分公司2019年度下半年采购代理服务合同</t>
  </si>
  <si>
    <t>本项目交通安全设施养护工程等10个项目的采购代理服务</t>
  </si>
  <si>
    <t>湖北武穴长江公路大桥土建工程造价咨询合同</t>
  </si>
  <si>
    <t>湖北棋盘洲长江公路大桥土建工程造价咨询合同</t>
  </si>
  <si>
    <t>蕲春至太湖高速公路蕲春西段造价咨询合同</t>
  </si>
  <si>
    <t>宜都至来凤高速公路鹤峰东段路面及附属工程造价咨询合同</t>
  </si>
  <si>
    <t>青兰国家高速公路长治至延安联络线（G2211）山西境黎城至霍州段工程建设安全生产管理和技术服务采购代理合同</t>
  </si>
  <si>
    <t>本项目采购代理服务</t>
  </si>
  <si>
    <t>青兰国家高速公路长治至延安联络线（G2211）山西境黎城至霍州段山西霍山省级自然保护区功能区调整技术咨询服务采购代理服务合同</t>
  </si>
  <si>
    <t>自然保护区功能区调整技术咨询服务采购代理服务，以及上述采购项目中需要公开招标的最高限价编制</t>
  </si>
  <si>
    <t>青兰国家高速公路长治至延安联络线（G2211）山西境黎城至霍州段平安百年品质工程创建示范工作总体方案技术咨询服务采购代理服务合同</t>
  </si>
  <si>
    <t>平安百年品质工程创建示范工作总体方案技术咨询服务采购代理服务，以及上述采购项目的最高限价编制</t>
  </si>
  <si>
    <t>山西交通控股集团有限公司太原分公司2019年度桥梁加固维修修复养护设计施工图总承包采购代理合同</t>
  </si>
  <si>
    <t>山西交通控股集团有限公司太原分公司</t>
  </si>
  <si>
    <t>施工图总承包</t>
  </si>
  <si>
    <t>梁加固维修修复养护设计施工图总承包的招标代理服务</t>
  </si>
  <si>
    <t>呼和浩特至北海高速公路宜都（全福河）至鄂湘界段档案管理服务工作招标代理合同</t>
  </si>
  <si>
    <t>湖北交投宜昌高速公路建设管理有限公司</t>
  </si>
  <si>
    <t>档案管理</t>
  </si>
  <si>
    <t>档案管理服务工作的招标代理工作</t>
  </si>
  <si>
    <t>省道（SOO1）哈尔滨经济圈一线江堤至机场高速段工程建设项目招标（采购）代理合同</t>
  </si>
  <si>
    <t>哈尔滨市交通运输局</t>
  </si>
  <si>
    <t>工可、勘设、施工、监理</t>
  </si>
  <si>
    <t>承担本项目土地预审、工可研报告内审、环境影响评估、水土保持、地址灾害评估、地震（如有）、压覆矿产调查、安全性评价、生物多样性（如有）、林地可研、文物调查、防洪评价、通航评价（如有）、勘测定界、社会稳定性风险评估等专项工程的询比采购代理工作；承担本项目的勘察设计、监理、检测、施工等招标代理服务</t>
  </si>
  <si>
    <r>
      <t>黑龙江省普通国省干线公路质量提升专项工程政府和社会资本合作（PPP）项目《咨询服务合同》承继合同</t>
    </r>
    <r>
      <rPr>
        <sz val="10"/>
        <color indexed="10"/>
        <rFont val="宋体"/>
        <charset val="134"/>
      </rPr>
      <t>（西段一案二评）</t>
    </r>
  </si>
  <si>
    <t>甲方：黑龙江省交通基础设施建设投资有限公司
乙方：北京中交建设工程咨询有限公司
丙方：黑龙江省国道西部工程项目管理有限公司</t>
  </si>
  <si>
    <t>ppp项目咨询服务</t>
  </si>
  <si>
    <t>北漠高速公路五大连池至嫩江段项目施工监理及试验检测机构招标代理合同</t>
  </si>
  <si>
    <t>本项目公路、房建、机电项目的施工监理及试验检测机构招标</t>
  </si>
  <si>
    <t>铁科高速公路方正至延寿尚志界段项目施工监理及试验检测机构招标代理合同</t>
  </si>
  <si>
    <t>铁科高速公路延寿尚志界至五常段项目施工监理及试验检测机构招标代理合同</t>
  </si>
  <si>
    <r>
      <t>黑龙江省普通国省干线公路质量提升专项工程政府和社会资本合作（PPP）项目《咨询服务合同》承继合同</t>
    </r>
    <r>
      <rPr>
        <sz val="10"/>
        <color indexed="10"/>
        <rFont val="宋体"/>
        <charset val="134"/>
      </rPr>
      <t>（西段可行性论证）</t>
    </r>
  </si>
  <si>
    <t>ppp模式可行性论证咨询服务</t>
  </si>
  <si>
    <r>
      <t>黑龙江省普通国省干线公路质量提升专项工程政府和社会资本合作（PPP）项目《咨询服务合同》承继合同</t>
    </r>
    <r>
      <rPr>
        <sz val="10"/>
        <color indexed="10"/>
        <rFont val="宋体"/>
        <charset val="134"/>
      </rPr>
      <t>（东段一案二评）</t>
    </r>
  </si>
  <si>
    <r>
      <t>黑龙江省普通国省干线公路质量提升专项工程政府和社会资本合作（PPP）项目《咨询服务合同》承继合同</t>
    </r>
    <r>
      <rPr>
        <sz val="10"/>
        <color indexed="10"/>
        <rFont val="宋体"/>
        <charset val="134"/>
      </rPr>
      <t>（东段可行性论证）</t>
    </r>
  </si>
  <si>
    <t>铁科高速铁力至方正段公路建设项目招标（采购）代理合同</t>
  </si>
  <si>
    <t>询比、勘设、监理</t>
  </si>
  <si>
    <t>承担本项目土地预审、工可研报告内审、环境影响评估、水土保持、地址灾害评估、地震（如有）、压覆矿产调查、安全性评价、生物多样性（如有）、林地可研、文物调查、防洪评价、通航评价（如有）、勘测定界、社会稳定性风险评估等专项工程的询比采购代理工作；承担本项目的初步勘察设计、施工图设计、勘察监理设计咨询、监理、检测等招标代理服务</t>
  </si>
  <si>
    <t>浏阳至江背高速特许经营项目实施方案编制咨询合同</t>
  </si>
  <si>
    <t xml:space="preserve">湖南省交通运输厅规划与项目办公室 </t>
  </si>
  <si>
    <t>本项目实施方案编制的咨询服务</t>
  </si>
  <si>
    <t>许广高速茶亭互通至长沙绕城高速公路特许经营项目实施方案编制咨询合同</t>
  </si>
  <si>
    <t>湖北省白洋长江公路大桥附属工程造价咨询合同</t>
  </si>
  <si>
    <t>限价</t>
  </si>
  <si>
    <t>沅陵至辰溪高速公路特许经营项目实施方案编制咨询合同转换合同</t>
  </si>
  <si>
    <t>湖南省沅辰高速公路建设开发有限公司</t>
  </si>
  <si>
    <t>完成合同转换</t>
  </si>
  <si>
    <t>醉美龙江331边防路一期（二批）施工总承包和PPP社会资本招标代理合同</t>
  </si>
  <si>
    <t>本项目A部分的招标代理工作</t>
  </si>
  <si>
    <t>醉美龙江331边防路一期（二批）施工总承包项目代建管理服务招标代理合同</t>
  </si>
  <si>
    <t>施工总承包代建管理招标</t>
  </si>
  <si>
    <t xml:space="preserve">本项目代建管理服务招标 </t>
  </si>
  <si>
    <t>醉美龙江331边防路一期（二批）施工总承包项目施工监理招标代理合同</t>
  </si>
  <si>
    <t>本项目监理招标</t>
  </si>
  <si>
    <t>北京厂通路潮白河大桥工程招标代理服务机构竞争性谈判代理合同</t>
  </si>
  <si>
    <t>北京市交通委员会通州公路分局</t>
  </si>
  <si>
    <t>招标代理机构</t>
  </si>
  <si>
    <t>本项目招标代理工作</t>
  </si>
  <si>
    <t>王显雷</t>
  </si>
  <si>
    <t>国道207线阳泉西郊至左权县城段一级公路新建工程招标代理合同</t>
  </si>
  <si>
    <t>工可、勘设、施工、监理、专项评估、材料、服务等</t>
  </si>
  <si>
    <t>高伟</t>
  </si>
  <si>
    <t>黑龙江天衡同信会计师事务所有限公司业务约定书（付）</t>
  </si>
  <si>
    <t>黑龙江天衡同信会计师事务所有限公司</t>
  </si>
  <si>
    <t>法律咨询</t>
  </si>
  <si>
    <t>对甲方相关业务提供咨询服务工作</t>
  </si>
  <si>
    <t>秦晓东</t>
  </si>
  <si>
    <t>黑龙江省普通国省道干线公路质量提升项目政府和社会资本合作（PPP）咨询服务委托合同（对内）</t>
  </si>
  <si>
    <t>刘殿臣</t>
  </si>
  <si>
    <t>北京经济技术开发区多功能综合杆改造工程投融资及财务测算咨询服务委托合同（对内）</t>
  </si>
  <si>
    <t>G4京港澳高速耒阳大市至宜章段扩容工程及零陵至道县高速公路项目咨询服务委托合同（对内）</t>
  </si>
  <si>
    <t>蕲春至太湖高速公路蕲春西段造价咨询合同（对内）</t>
  </si>
  <si>
    <t>宛亚坤</t>
  </si>
  <si>
    <t>北京九德路（京哈高速公路--潞西路）改建工程凉水河桥造价咨询合同（对内）</t>
  </si>
  <si>
    <t>中路电子招投标交易平台系统（二期）建设服务合同(仅有一份）（付）</t>
  </si>
  <si>
    <t>电子平台升级</t>
  </si>
  <si>
    <t>平台升级、更新、改造、完善</t>
  </si>
  <si>
    <t>边丽华</t>
  </si>
  <si>
    <t>青兰国家高速公路长治至延安联络线（G2211）山西境黎城至霍州段穿越生态保护红线生态功能影响论证报告编制服务采购代理服务合同</t>
  </si>
  <si>
    <t>青兰国家高速公路长治至延安联络线（G2211）山西境黎城至霍州段穿越生态保护红线生态功能影响论证报告编制服务采购代理服务，以及上述采购项目的最高限价编制</t>
  </si>
  <si>
    <t>山西风陵渡黄河大桥及连接线（G5514）招标和采购代理合同</t>
  </si>
  <si>
    <t>工可、造价咨询、招标代理、PPP咨询</t>
  </si>
  <si>
    <t>巴音郭楞蒙古自治州若羌至民丰高速公路、轮台至民丰公路及国有农林道路项目（A项目包）政府和社会资本合作（PPP）咨询服务补充合同</t>
  </si>
  <si>
    <t>甲方：巴音郭楞蒙古自治州交通运输局
乙方：巴州中铁工程建设有限公司</t>
  </si>
  <si>
    <t>增加：协助完成文件的报批、财政部PPP项目管理库信息录入工作、协助编写收费评估报告、编制本项目特许权协议的补充合同、编制项目推进方案等</t>
  </si>
  <si>
    <t>杜晓雷</t>
  </si>
  <si>
    <t>G4京港澳高速耒阳大市至宜章段扩容工程及零陵至道县高速公路项目招商相关咨询服务工作补充合同</t>
  </si>
  <si>
    <t>招标、PPP咨询</t>
  </si>
  <si>
    <t>增加：BOT项目投资人的招标、投资协议和特许经营协议的编制以及三个项目捆绑测算报告</t>
  </si>
  <si>
    <t>胡浩翔</t>
  </si>
  <si>
    <t>山西熙锦建筑劳务有限公司咨询服务合同（临吉高速不予退还保证金）（付）</t>
  </si>
  <si>
    <t>山西熙锦建筑劳务有限公司</t>
  </si>
  <si>
    <t>甲方承揽的有关招标代理、造价咨询工作</t>
  </si>
  <si>
    <t>吉黑高速山河（吉黑省界）至哈尔滨（永源镇）段项目招标代理合同（仅有一份）</t>
  </si>
  <si>
    <t>施工、监理、设备、材料等招标</t>
  </si>
  <si>
    <t>本项目建筑工程、安装工程、监理、科研课题、主要设备、重要材料采购及交（竣）工阶段服务（检测）单位等招标</t>
  </si>
  <si>
    <t>郭立卓</t>
  </si>
  <si>
    <t>宜都至来凤高速公路鹤峰东段造价咨询合同+补充协议</t>
  </si>
  <si>
    <t>中交二公局第一工程有限公司宜来高速鹤峰东段土建一标项目经理部</t>
  </si>
  <si>
    <t>编制工程量清单、施工承包合同预算、技术规范（计量规则）等相关工作</t>
  </si>
  <si>
    <t>盖晓娜</t>
  </si>
  <si>
    <t>青兰国家高速公路长治至延安联络线（G2211）山西境黎城至霍州段沁源连接线工程涉沁河防洪评价报告编制及沁河1#大桥河道整治设计服务采购代理合同</t>
  </si>
  <si>
    <t>服务采购、造价咨询（编限价）</t>
  </si>
  <si>
    <t>青兰国家高速公路长治至延安联络线（G2211）山西境黎城至霍州段沁源连接线工程涉沁河防洪评价报告编制及沁河1#大桥河道整治设计服务，以及上述采购项目的最高限价编制</t>
  </si>
  <si>
    <t>青兰国家高速公路长治至延安联络线（G2211）山西境黎城至霍州段编制《土地用途调整方案》和《穿越沁县土地利用总体规划（2006-2020年）中禁止建设区的论证报告》技术服务采购代理服务合同</t>
  </si>
  <si>
    <t>青兰国家高速公路长治至延安联络线（G2211）山西境黎城至霍州段编制《土地用途调整方案》和《穿越沁县土地利用总体规划（2006-2020年）中禁止建设区的论证报告》技术服务，以及上述采购项目的最高限价编制</t>
  </si>
  <si>
    <t>新疆2021年危旧桥梁改造项目国道216线K1077+992处乌瓦门桥改造工程施工项目招标代理合同</t>
  </si>
  <si>
    <t>施工招标</t>
  </si>
  <si>
    <t>本项目监理招标及后续工作</t>
  </si>
  <si>
    <t>董亚会</t>
  </si>
  <si>
    <t>新疆2021年G331线哈巴河东大桥、哈巴河西大桥危旧桥梁改造工程施工监理招标代理合同</t>
  </si>
  <si>
    <t>新疆G315线K2316+291奇克力克桥水毁处治、2021年危桥改造项目G314线K933+740处喀拉玉尔滚桥、G314线K954+888处阿克力克桥、G216线K1077+992处乌瓦门桥改造工程施工监理招标代理合同</t>
  </si>
  <si>
    <t>湖北蕲春至太湖高速公路蕲春东段项目招标代理合同</t>
  </si>
  <si>
    <t>湖北交投蕲太东高速公路有限公司</t>
  </si>
  <si>
    <t>施工、监理、材料、设备、咨询服务招标</t>
  </si>
  <si>
    <t>施工监理招标、施工招标、工程咨询服务类招标和材料、设备采购招标代理服务，合同文件的编制及相关咨询服务工作</t>
  </si>
  <si>
    <t>王淑波、魏超</t>
  </si>
  <si>
    <t>黑龙江醉美龙江331边防路抚远至漠河（省界）段项目政府和社会资本合作（PPP）咨询服务合同</t>
  </si>
  <si>
    <t>PPP招标、一案二评</t>
  </si>
  <si>
    <t>编制PPP项目实施方案、物有所值评价报告、财政承受能力评估报告并配合甲方完成申报审批工作；编制资格预审文件(如需）和招标文件；组织社会资本招标采购；编制ppp项目合同；协助实施机构进行ppp合同谈判，并根据谈判情况进行相关合同文件的修改、完善；完成项目建设期间的年度绩效考核评价、子项目及整体项目交工验收后的绩效评价及项目交工验收后的首次中期评估；协助项目实施机构开展绩效监控、管理制度评估、组织项目技术咨询等日常管理咨询</t>
  </si>
  <si>
    <t>黑龙江醉美龙江331边防路抚远至漠河（省界）段项目政府和社会资本合作（PPP）咨询服务合同补充协议</t>
  </si>
  <si>
    <t>本项目招标分期分批实施</t>
  </si>
  <si>
    <t>青兰国家高速公路长治至延安联络线（G2211）山西境黎城至霍州段房建工程施工招标采购代理服务合同</t>
  </si>
  <si>
    <t>本项目的采购代理</t>
  </si>
  <si>
    <t>山西二广高速原平至阳曲大盂段改扩建工程招标和采购代理合同</t>
  </si>
  <si>
    <t>工可、评估、造价等服务招标</t>
  </si>
  <si>
    <t>本项目的招标和采购代理</t>
  </si>
  <si>
    <t>山西路桥建设集团有限公司招标代理服务项目补充协议书一</t>
  </si>
  <si>
    <t>山西路桥建设集团有限公司</t>
  </si>
  <si>
    <t>91140000110037824X</t>
  </si>
  <si>
    <t>山西路桥建设集团有限公司招标代理服务项目补充协议书二</t>
  </si>
  <si>
    <t>北宽电信宽带合同</t>
  </si>
  <si>
    <t>北京北宽科技有限公司</t>
  </si>
  <si>
    <t>王青平</t>
  </si>
  <si>
    <t>山西路桥建设集团有限公司投资项目咨询服务框架协议书</t>
  </si>
  <si>
    <t>投资项目咨询服务</t>
  </si>
  <si>
    <t>具体范围包括甲方在协议签署前已确定的需要提供服务的项目以及在协议期内新增项目；</t>
  </si>
  <si>
    <t>陈志宇</t>
  </si>
  <si>
    <t>孙国喜</t>
  </si>
  <si>
    <t>G4京港澳高速株洲王拾万至耒阳大市段扩容工程特许经营项目实施方案编制咨询合同</t>
  </si>
  <si>
    <t>实施方案缴费咨询</t>
  </si>
  <si>
    <t>12430000355564112G</t>
  </si>
  <si>
    <t>G4京港澳高速株洲王拾万至耒阳大市段扩容工程特许经营项目政府采购合同协议书（同719）</t>
  </si>
  <si>
    <t>桂东至新田（宁远）高速公路桂东至郴州段特许经营项目实施方案编制咨询合同</t>
  </si>
  <si>
    <t>桂东至新田（宁远）高速公路桂东至郴州段特许经营项目政府采购合同协议书（同721）</t>
  </si>
  <si>
    <t>铁科高速公路方正至延寿尚志界段PPP项目社会资本招标最高投标限价及理论成本价报告审核技术咨询合同</t>
  </si>
  <si>
    <t>最高限价及成本审核</t>
  </si>
  <si>
    <t>最高投标限价及理论成本价报告审核</t>
  </si>
  <si>
    <t>9123110030853632XY</t>
  </si>
  <si>
    <t>铁科高速公路延寿尚志界至五常段PPP项目社会资本招标最高投标限价及理论成本价报告审核技术咨询合同</t>
  </si>
  <si>
    <t>北漠高速五大连池至嫩江段PPP项目社会资本招标最高投标限价及理论成本价报告编制技术咨询合同</t>
  </si>
  <si>
    <t>北京经济技术开发区多功能综合杆改造工程投融资及财务测算的咨询服务委托合同--终止协议（原616）</t>
  </si>
  <si>
    <t>终止协议</t>
  </si>
  <si>
    <t>91110302MA02012B4D</t>
  </si>
  <si>
    <t>巴音郭愣蒙古自治州若羌至民丰高速公路、轮台至民丰公路及国有农林牧场道路项目（A项目包）政府和社会资本合作（PPP）咨询服务补充合同</t>
  </si>
  <si>
    <t>1、根据财办金〔2017〕92号文件精神，对项目优化调整（缩减投资额），并对原实施方案、物有所值评价报告和财政承受能力论证报告进行修编，协助完成文件的报批、财政部PPP项目管理库信息录入工作。2、协助本项目公路设站收费事项的申请，编制资金筹措说明，协助编写收费评估报告。3、根据新政办函(2019)203号文件精神，按“十三五”二级公路和“十四五”高速公路分期实施的思路，对实施方案、物有所值评价报告和财政承受能力论证报告进行修编。4、工程可行性研究报告与初步设计修编完成并批复后，结合项目实施的实际情况，修编实施方案、物有所值评价报告和财政承受能力论证报告，协助完成文件的报批、财政部PPP项目管理库信息录入工作。5、编制本项目特许权协议的补充合同，并协助完成合同谈判。6、编制项目推进方案，协助分析项目问题，提出解决方案，编制相关汇报材料。</t>
  </si>
  <si>
    <t>911101057999629124</t>
  </si>
  <si>
    <t>山西汾阳至石楼高速公路施工总承包项目采购代理服务合同</t>
  </si>
  <si>
    <t>山西路桥建设集团有限公司汾石高速公路施工总承包项目部</t>
  </si>
  <si>
    <t>施工总承包</t>
  </si>
  <si>
    <t>本项目采购招标</t>
  </si>
  <si>
    <t>青兰国家高速公路长治至延安联络线（G2211）山西境黎城至霍州段路基交工验收质量检测服务采购代理服务合同</t>
  </si>
  <si>
    <t>谈判采购+最高限价</t>
  </si>
  <si>
    <t>路基交工验收质量检测服务谈判采购，以及上述采购项目的最高限价编制</t>
  </si>
  <si>
    <t>91140400MA0KWXM0XY</t>
  </si>
  <si>
    <t>青兰国家高速公路长治至延安联络线（G2211）山西境黎城至霍州段《黎霍高速公路项目建设综合应急预案》重新编制、评审和备案第三方服务采购代理服务合同</t>
  </si>
  <si>
    <t>《黎霍高速公路项目建设综合应急预案》重新编制、评审和备案第三方服务谈判采购，以及上述采购项目的最高限价编制</t>
  </si>
  <si>
    <t>青兰国家高速公路长治至延安联络线（G2211）山西境黎城至霍州段2022年车辆租赁服务采购代理服务合同</t>
  </si>
  <si>
    <t>2022年车辆租赁服务谈判采购，以及上述采购项目的最高限价编制</t>
  </si>
  <si>
    <t>湖南省新新、张官高速公路建设项目招标代理协议书</t>
  </si>
  <si>
    <t>湖南省新新张官高速公路建设开发有限公司</t>
  </si>
  <si>
    <t>承担新新张官项目公司负责的采购及招标项目的招标代理</t>
  </si>
  <si>
    <t>91430000MA4TG1XJ6N</t>
  </si>
  <si>
    <t>黑龙江省普通国省干线公路质量提升专项工程（二期）项目政府和社会资本合同（PPP）咨询服务合同</t>
  </si>
  <si>
    <t>一案二评、PPP招标、绩效考核评价</t>
  </si>
  <si>
    <t>PPP项目实施方案、物有所值评价报告、财政承受能力论证报告、编制PPP项目合同、招标文件、资格审查、招标代理相关工作、公开招标、协助签署PPP合同、绩效平价年报、整体项目交工验收的后的绩效评价报告等</t>
  </si>
  <si>
    <t>湖北石首长江公路大桥土建工程造价咨询合同</t>
  </si>
  <si>
    <t>新疆G218线墩麻扎至那拉提段公路工程机电工程施工造价咨询合同</t>
  </si>
  <si>
    <t>G30新疆境内乌鲁木齐至奎屯段改扩建工程机电工程施工造价咨询合同</t>
  </si>
  <si>
    <t>浙江省白彭公路（彭南至妙山段）改造工程施工造价咨询合同</t>
  </si>
  <si>
    <t>新疆S21阿勒泰至乌鲁木齐公路工程造价咨询合同</t>
  </si>
  <si>
    <t>湖北石首长江公路大桥部分土建工程造价咨询合同（付）</t>
  </si>
  <si>
    <t>武汉人和工程造价咨询有限公司</t>
  </si>
  <si>
    <t>造价咨询（具体包括清理工程数量，编制工程量清单、施工承包合同预算，协助甲方进行技术规范（计量规则）的编制，对成果文件质量负责并向有关单位进行解释说明，协助建设单位与承包商进行沟通谈判，负责审计审查的解释等有关工作）。</t>
  </si>
  <si>
    <t>91420112781989287X</t>
  </si>
  <si>
    <t>鹤大高速佳木斯过境段ppp项目咨询委托合同（付）</t>
  </si>
  <si>
    <t>一案二评咨询</t>
  </si>
  <si>
    <t>1、对本项目《PPP实施方案》、《物有所值评价及财政承受能力论证》等前期工作文件进行咨询和评估，并形成咨询意见报告；
2、通过财务分析和测算，评估本项目投资额增加对政府运营期补贴的影响；通过分析测算政府运营期补贴与资本金内部收益率，为甲方确定政府运营期补贴最高投标限价提供决策依据。</t>
  </si>
  <si>
    <t>山西公路局路面改造PPP项目社会资本招标咨询委托合同（付）</t>
  </si>
  <si>
    <t>PPP招标咨询</t>
  </si>
  <si>
    <t>协助起草相关合同（含PPP合同）、协助组织招标文件评审、协助组织合同谈判与签署，其他与招标工作相关的咨询工作等。</t>
  </si>
  <si>
    <t>湖南永州至新宁高速公路特许经营项目实施方案编制委托合同（付）</t>
  </si>
  <si>
    <t>初步设计、特许经营咨询</t>
  </si>
  <si>
    <t>1、完成尽职调查，编制初步实施方案，组织专家评审；
2、编制特许经营项目实施方案，内容包括但不限于项目运作方式、交易结构、财务测算、费用效益分析、风险评估、合同体系、核心边界条件和投资人采购方式等。</t>
  </si>
  <si>
    <t>醴陵至娄底高速公路扩容工程捆绑沅陵至辰溪和永州至新宁高速公路捆绑测算咨询委托合同（付）</t>
  </si>
  <si>
    <t>财务测算分析咨询</t>
  </si>
  <si>
    <t>搭建财务数学模型，对上海至昆明国家高速公路醴陵至娄底段扩容工程捆绑沅陵至辰溪和永州至新宁高速公路工程进行财务测算分析并结合政策法规和市场环境分析测算结果，作为开展社会资本招标等后续工作的参考。</t>
  </si>
  <si>
    <t>湖南茶陵至常宁高速公路特许经营项目实施方案编制咨询委托合同（付）</t>
  </si>
  <si>
    <t>唐山市丰润区交通运输局PPP项目缩减投资规模咨询委托合同（付）</t>
  </si>
  <si>
    <t>对财政部PPP项目库中“唐山市丰润区交通基础设施综合提升改造PPP项目”的原实施方案、物有所值评价报告、财政承受能力论证报告进行修编，重新测算政府付费金额，起草补充协议，更新、完善财政部PPP项目库信息。</t>
  </si>
  <si>
    <t>G59炉红山（湘鄂界）至慈利段捆绑G5515张南高速桑植至龙山段工程捆绑测算咨询委托合同</t>
  </si>
  <si>
    <t>搭建财务数学模型，对G59呼北高速炉红山（湘鄂界）至慈利段捆绑G5515张南高速桑植至龙山段工程进行财务测算分析并结合政策法规和市场环境分析测算结果，作为开展社会资本招标等后续工作的参考。</t>
  </si>
  <si>
    <t>黑龙江醉美龙江331边防路一期PPP项目咨询委托合同（付）</t>
  </si>
  <si>
    <t>编制PPP项目实施方案、物有所值评价报告、财政承受能力论证报告并配合完成申报审批工作。</t>
  </si>
  <si>
    <t>广西崇左市边境道路改善项目咨询委托合同（付）</t>
  </si>
  <si>
    <t>招标咨询</t>
  </si>
  <si>
    <t>本项目中所涉及的工程招标、货物招标、服务招标、非咨询类服务、咨询类服务以及亚洲基础设施投资银行要求与本项目相关的其它招标代理事宜等，具体代理内容以实际发生的为准。</t>
  </si>
  <si>
    <t>G5513益阳至常德高速公路扩容工程PPP项目捆绑城步至龙胜（湘桂界）高速公路特许经营项目捆绑测算咨询委托合同（付）</t>
  </si>
  <si>
    <t>搭建财务数学模型，对G5513益阳至常德高速公路扩容工程PPP项目捆绑城步至龙胜（湘桂界）高速公路特许经营项目进行财务测算分析并结合政策法规和市场环境分析测算结果，作为开展社会资本招标等后续工作的参考。</t>
  </si>
  <si>
    <t>G59新化至新宁（武冈）段捆绑G59呼北高速张家界至官庄段工程PPP项目捆绑测算咨询委托合同（付）</t>
  </si>
  <si>
    <t>搭建财务数学模型，对G59呼北高速新化至新宁（武冈）段捆绑G59呼北高速张家界至官庄段工程PPP项目进行财务测算分析并结合政策法规和市场环境分析测算结果，作为开展社会资本招标等后续工作的参考。</t>
  </si>
  <si>
    <t>国道208线晋中长治界至屯留小河北段改扩建工程PPP项目咨询委托合同（付）</t>
  </si>
  <si>
    <t>黑龙江省质量提升专项PPP模式可行性论证（付）</t>
  </si>
  <si>
    <t>编制黑龙江省普通国省干线公路质量提升专项工程（东部地区）PPP项目可行性论证报告和黑龙江省普通国省干线公路质量提升专项工程（西部地区）PPP项目可行性论证报告（以下简称“PPP项目可行性论证报告”），并配合完成申报审批工作。</t>
  </si>
  <si>
    <t>国道108忻州境内砂河至石岭段改扩建工程PPP项目咨询委托合同（付）</t>
  </si>
  <si>
    <t>一案二评及PPP招标咨询</t>
  </si>
  <si>
    <t>1、提供政策咨询，根据国家相关政策和同类PPP项目实践经验，为本项目提供政策咨询，以保证本项目的运作完全符合国家相关规定；
2、开展项目前期调研工作，全面收集、分析项目的前期规划、工程资料等PPP运作相关资料和基础数据，访谈有关政府部门和企业机构，了解各利益相关方的思路和诉求；
3、编制PPP实施方案，实施方案内容包括项目概况、项目风险分配基本框架、项目运作方式选择、项目交易结构分析、项目合同体系要点分析、项目监管构架分析、项目采购方式选择等，协助报政府部门审批；
4、完成物有所值评价报告，从定性和定量两个方面对项目进行评价，形成评价结论，协助报政府部门审批；
5、完成财政承受能力论证报告，形成论证结论，协助财政部门形成评价意见；
6、根据物有所值评价评审意见、财政承受能力论证评审意见对实施方案进行调整，协助招标人报政府批准并办理入库相关事宜；
7、进行市场测试（如有）；
8、熟悉PPP政策、PPP项目采购操作流程，并提供相关咨询工作；
9、招标人委托的其他内容等。</t>
  </si>
  <si>
    <t>北漠高速五大连池至嫩江段PPP项目咨询委托合同（付）</t>
  </si>
  <si>
    <t>浏阳至江背高速公路特许经营项目咨询委托合同（付）</t>
  </si>
  <si>
    <t>许广高速茶亭互通至长沙绕城高速特许经营项目咨询委托合同（付）</t>
  </si>
  <si>
    <t>山西路桥一公司2022年度采购项目招标代理服务（代理期限2022年3月4日至2022年5月13日）</t>
  </si>
  <si>
    <t>山西路桥第一工程有限公司</t>
  </si>
  <si>
    <t>2022年度公开招标、框架协议一个阶段采购项目</t>
  </si>
  <si>
    <t>911400002762006955</t>
  </si>
  <si>
    <t>山西交通科学研究院集团有限公司机关总部工作服装采购项目招标代理协议书</t>
  </si>
  <si>
    <t>服装采购招标</t>
  </si>
  <si>
    <t>91140000MA0KD8UB9X</t>
  </si>
  <si>
    <t>G0321德州至上饶高速公路祁门至晥赣界段工程PPP项目物有所值评价报告编制合同协议书</t>
  </si>
  <si>
    <t>物有所值</t>
  </si>
  <si>
    <t>物有所值评价报告编制咨询服务</t>
  </si>
  <si>
    <t xml:space="preserve">113400000029862801 </t>
  </si>
  <si>
    <t>G4京港澳高速株洲王拾万至耒阳大市段扩容工程补偿测算方案咨询合同</t>
  </si>
  <si>
    <t>补偿测算方案咨询</t>
  </si>
  <si>
    <t>补偿测算方案咨询服务</t>
  </si>
  <si>
    <t>G4京港澳高速长沙广福至株洲王拾万（朱亭）段扩容工程捆绑桂东至新田（宁远）高速公路郴州至桂阳段特许经营项目捆绑测算报告编制合同</t>
  </si>
  <si>
    <t>捆绑测算报告编制</t>
  </si>
  <si>
    <t>搭建财务数学模型，进行捆绑测算并结合政策法规和市场环境分析测算结果，作为开展投资人招标等后续工作的参考。</t>
  </si>
  <si>
    <t>国道丹阿公路(G331）萝嘉界至嘉荫段等主线、景区连接线及经营类交旅设施项目总承包及PPP咨询等服务ZX标段咨询服务合同（醉美331二期（一批））</t>
  </si>
  <si>
    <t>一案二评及施工总承包施工、监理等全过程招标和最高限价编制工作</t>
  </si>
  <si>
    <t>1、总承包部分：本项目A部分总承包工程的施工、监理及试验检测等全过程招标代理A部分总承包工程（施工和监理及试验检测等）最高投标限价编制工作（招标工程量清单提取、编制单价）。
2、PPP部分，本项目B部分PPP社会资本方招标采购（含资格预审，如有）：B部分合同包最高投标限价（降幅标准）。
编制B部分的PPP项目实施方案、物有所值评价报告、财政承受能力评估报告并配合完成申报审批工作：编制PPP项目合同；协助实施机构进行PPP合同谈判，并根据谈判情况进行相关合同文件的修改、完善；完成B部分项目建设期间的年度绩效考核评价、子项目交工验收后的绩郊评价以及项目交工验收后的首次中期评估；协助项目实施机构开展绩效监控、管理制度评估、组织项目技术咨询等日常管理咨询。</t>
  </si>
  <si>
    <t>李晓飞、李光</t>
  </si>
  <si>
    <t>122300004140001669</t>
  </si>
  <si>
    <t>G1111鹤哈高速鹤岗至伊春段政府和社会资本合作（PPP）项目咨询服务合同</t>
  </si>
  <si>
    <t>一案二评及施工总承包招标、PPP社会资本招标</t>
  </si>
  <si>
    <t>PPP项目实施方案、物有所值评价报告、财政承受能力论证报告、编制PPP项目合同、招标文件、资格审查、招标代理相关工作、公开招标、协助签署施工总承包合同和PPP合同、绩效评价年报、整体项目交工验收的后的绩效评价报告等</t>
  </si>
  <si>
    <t>鹤伊等7个项目政府和社会资本合作（PPP）咨询服务机构ZX1标段咨询服务合同承继合同（承继622）</t>
  </si>
  <si>
    <t>甲方：黑龙江省交通基础设施建设投资有限公司
乙方：北京中交建设工程咨询有限公司
丙方：黑龙江省公路建设中心</t>
  </si>
  <si>
    <t>承继合同</t>
  </si>
  <si>
    <t>五大连池至嫩江段公路建设项目PPP项目咨询服务补充事宜承继</t>
  </si>
  <si>
    <t>9123110030853632XY/122300004140001669</t>
  </si>
  <si>
    <t>北漠高速五大连池至嫩江段政府和社会资本合作(PPP)项目社会资本招标最高投标限价及理论成本价报告编制《技术咨询合同》承继合同（承继725）</t>
  </si>
  <si>
    <t>甲方：黑龙江省交通基础设施建设投资有限公司
乙方：北京中交建设工程咨询有限公司
丙方：黑龙江北漠高速五嫩段工程建设项目有限公司</t>
  </si>
  <si>
    <t>最高投标限价及理论成本价报告审核承继</t>
  </si>
  <si>
    <t>9123110030853632XY/91231121MABU1EG42B</t>
  </si>
  <si>
    <t>国道丹阿公路（G331）萝嘉界至嘉荫段经营类交旅设施政府和社会资本合作（PPP)项目咨询委托合同（对内）</t>
  </si>
  <si>
    <t>最高限价及一案二评</t>
  </si>
  <si>
    <t>编制社会资本方招标最高投标限价（降幅标准）报告；编制PPP项目实施方案、物有所值评价报告、财政承受能力论证报告并配合完成申报审批工作；完成项目建设期间的年度绩效考核评价、子项目交工验收后的绩效评价以及项目交工验收后的首次中期评估；协助项目实施机构开展绩效监控、管理制度评估、组织项目技术咨询等日常管理咨询。</t>
  </si>
  <si>
    <t>G1111鹤哈高速苔青至伊春段政府和社会资本合作（PPP）项目社会资本方招标最高投标限价及理论成本价报告编制技术咨询委托合同（对内）</t>
  </si>
  <si>
    <t>最高限价及成本编制</t>
  </si>
  <si>
    <t>最高投标限价及理论成本价报告编制</t>
  </si>
  <si>
    <t>G1111鹤哈高速鹤岗至伊春段政府和社会资本合作（PPP）项目咨询服务合同（对内）</t>
  </si>
  <si>
    <t>一案二评及绩效考核</t>
  </si>
  <si>
    <t>编制PPP项目实施方案、物有所值评价报告、财政承受能力论证报告并配合完成申报审批工作；完成项目建设期间的年度绩效考核评价、项目交工验收后的绩效评价；协助项目实施机构开展绩效监控、管理制度评估、组织项目技术咨询等日常管理咨询。</t>
  </si>
  <si>
    <t>国道108线忻州境内砂河至石岭关段改建工程PPP项目咨询服务合同协议</t>
  </si>
  <si>
    <t>一案二评、起草或草拟合同文本，编制PPP合同；协助实施机构PPP合同谈判，并根据谈判情况进行相关合同文件的修改、完成等</t>
  </si>
  <si>
    <t>魏超、陈志宇</t>
  </si>
  <si>
    <t xml:space="preserve">1214000040570679XL </t>
  </si>
  <si>
    <t>《湖南省经营性高速公路政府和社会资本（PPP）项目社会资本方招标文件示范文本》和《湖南省经营性高速公路特许经营项目投资人招标文件示范文件》修订咨询服务合同（仅有一份）</t>
  </si>
  <si>
    <t>《范本》修订</t>
  </si>
  <si>
    <t>PPP招标范本修订（含投资协议和PPP项目合同），投资人招标范本修订（含投资协议和特许经营协议）</t>
  </si>
  <si>
    <t>安化至溆浦高速公路特许经营项目实施方案编制咨询合同</t>
  </si>
  <si>
    <t>实施方案编制</t>
  </si>
  <si>
    <t>G4京港澳高速岳阳龙湾至长沙广福段扩容工程特许经营项目实施方案编制咨询合同</t>
  </si>
  <si>
    <t>本项目实施方案编制的咨询服务，包括对既有路段补偿原则、方案和主体的分析研究</t>
  </si>
  <si>
    <t>G4京港澳高速株洲王拾万（朱亭）至耒阳大市段扩容工程 捆绑桂东至新田（宁远）高速公路桂东至郴州段特许经营项目捆绑测算报告编制合同</t>
  </si>
  <si>
    <t>搭建财务数学模型、进行捆绑测算并结合政策法规和市场环境分析测算结果，作为开展投资人招标等后续工作的参考。</t>
  </si>
  <si>
    <t>G4京港澳高速株洲王拾万（朱亭）至耒阳大市段扩容工程 捆绑桂东至新田（宁远）高速公路桂东至郴州段项目包投资人招标代理委托合同</t>
  </si>
  <si>
    <t>投资人招标</t>
  </si>
  <si>
    <t>巴音郭楞蒙古自治州S340哈尔莫墩至巴音郭楞等十个公路项目（C项目包）政府和社会资本合作（PPP）前期咨询及招标代理合同移交协议</t>
  </si>
  <si>
    <t>甲方：中交一公局巴州交通建设有限公司
乙方：北京中交建设工程咨询有限公司
丙方：巴音郭楞蒙古自治州交通运输局</t>
  </si>
  <si>
    <t>PPP前期咨询及招标代理移交</t>
  </si>
  <si>
    <t>PPP项目建设前期咨询服务</t>
  </si>
  <si>
    <t>91652801MA79J7E696/11652800010448474A</t>
  </si>
  <si>
    <t>2022年湟源公路总段危旧桥梁发行工程施工招标代理合同</t>
  </si>
  <si>
    <t>青海省湟源公路总段</t>
  </si>
  <si>
    <t xml:space="preserve">12630000440220103N </t>
  </si>
  <si>
    <t>2022年湟源公路总段危旧桥梁发行工程施工监理采购代理合同</t>
  </si>
  <si>
    <t>施工监理采购服务</t>
  </si>
  <si>
    <t>青海省交通运输厅2022年度G0611张掖至汶川高速扁都口（甘青界）至门源（克图）公路工程K0-K27+700段咨询审查服务单位采购代理合同</t>
  </si>
  <si>
    <t>青海省交通运输厅</t>
  </si>
  <si>
    <t>施工图设计咨询审查服务招标</t>
  </si>
  <si>
    <t>施工图设计咨询审查服务采购代理</t>
  </si>
  <si>
    <t xml:space="preserve">11630000015000556M </t>
  </si>
  <si>
    <t>青海省交通运输厅2022年度G569小大公路小沙河至宁缠垭口段公路工程咨询审查服务单位采购代理合同</t>
  </si>
  <si>
    <t>咨询审查服务招标</t>
  </si>
  <si>
    <t>咨询审查服务单位采购代理</t>
  </si>
  <si>
    <t>青海省交通运输厅2022年度G6京藏高速倒淌河至大水桥段改造升级工程咨询审查服务单位采购合同</t>
  </si>
  <si>
    <t>青海省交通运输厅2022年度G345沙木金黄河桥至久治公路工程咨询审查服务单位采购代理合同</t>
  </si>
  <si>
    <t>青海省交通运输厅2022年度G227张掖至孟连公路贵德至同德段工程咨询审查服务单位委托代理合同</t>
  </si>
  <si>
    <t>青海省公路局2022年度竣工项目工程决算审计服务采购代理合同</t>
  </si>
  <si>
    <t>青海省公路局</t>
  </si>
  <si>
    <t>决算审计服务招标</t>
  </si>
  <si>
    <t>决算审计服务单位采购代理</t>
  </si>
  <si>
    <t>126300004400003898</t>
  </si>
  <si>
    <t>G213策克至磨憨公路群科至隆务峡口公路新、改建工程等三个项目工程可行性研究、施工图设计及G109北京至拉萨公路享堂大桥（甘青界）至老鸦峡口段新建工程等两个项目工程可行性研究招标代理服务合同</t>
  </si>
  <si>
    <t>工可、施工图招标</t>
  </si>
  <si>
    <t>可行性研究执行编制招标、施工图勘察设计（含专项评估）招标</t>
  </si>
  <si>
    <t>新疆交投天北高速公路有限责任公司2021年除雪车采购项目招标代理合同</t>
  </si>
  <si>
    <t>新疆交投天北高速公路有限责任公司</t>
  </si>
  <si>
    <t>设备采购招标</t>
  </si>
  <si>
    <t>除雪车采购招标</t>
  </si>
  <si>
    <r>
      <t>黑龙江省普通国道干线公路质量提升专项工程（二期）</t>
    </r>
    <r>
      <rPr>
        <sz val="10"/>
        <color indexed="10"/>
        <rFont val="宋体"/>
        <charset val="134"/>
      </rPr>
      <t>东</t>
    </r>
    <r>
      <rPr>
        <sz val="10"/>
        <rFont val="宋体"/>
        <charset val="134"/>
      </rPr>
      <t>部地区PPP项目《咨询服务合同》三方协议（仅有一份）（承继</t>
    </r>
    <r>
      <rPr>
        <sz val="10"/>
        <rFont val="宋体"/>
        <charset val="134"/>
      </rPr>
      <t>733）</t>
    </r>
  </si>
  <si>
    <t>甲方：黑龙江省交通基础设施建设投资有限公司
乙方：北京中交建设工程咨询有限公司
丙方：黑龙江省国道东部二期工程项目管理有限公司</t>
  </si>
  <si>
    <t>承继本项目一案二评、PPP招标、编制PPP合同、协助实施机构进行PPP合同谈判等</t>
  </si>
  <si>
    <t>9123110030853632XY/91230109MAC4YF5D7G</t>
  </si>
  <si>
    <r>
      <t>黑龙江省普通国道干线公路质量提升专项工程（二期）</t>
    </r>
    <r>
      <rPr>
        <sz val="10"/>
        <color indexed="10"/>
        <rFont val="宋体"/>
        <charset val="134"/>
      </rPr>
      <t>西</t>
    </r>
    <r>
      <rPr>
        <sz val="10"/>
        <rFont val="宋体"/>
        <charset val="134"/>
      </rPr>
      <t>部地区PPP项目《咨询服务合同》三方协议（仅有一份）（承继</t>
    </r>
    <r>
      <rPr>
        <sz val="10"/>
        <rFont val="宋体"/>
        <charset val="134"/>
      </rPr>
      <t>733</t>
    </r>
    <r>
      <rPr>
        <sz val="10"/>
        <rFont val="宋体"/>
        <charset val="134"/>
      </rPr>
      <t>）</t>
    </r>
  </si>
  <si>
    <r>
      <t>甲方：黑龙江省交通基础设施建设投资有限公司
乙方：北京中交建设工程咨询有限公司
丙方：黑龙江省国道</t>
    </r>
    <r>
      <rPr>
        <sz val="10"/>
        <color indexed="10"/>
        <rFont val="宋体"/>
        <charset val="134"/>
      </rPr>
      <t>西</t>
    </r>
    <r>
      <rPr>
        <sz val="10"/>
        <rFont val="宋体"/>
        <charset val="134"/>
      </rPr>
      <t>部二期工程项目管理有限公司</t>
    </r>
  </si>
  <si>
    <r>
      <t>9123110030853632XY/</t>
    </r>
    <r>
      <rPr>
        <sz val="10"/>
        <rFont val="宋体"/>
        <charset val="134"/>
      </rPr>
      <t>91230109MAC58RHC74</t>
    </r>
  </si>
  <si>
    <r>
      <t>G111</t>
    </r>
    <r>
      <rPr>
        <sz val="10"/>
        <rFont val="宋体"/>
        <charset val="134"/>
      </rPr>
      <t>1</t>
    </r>
    <r>
      <rPr>
        <sz val="10"/>
        <rFont val="宋体"/>
        <charset val="134"/>
      </rPr>
      <t>鹤哈高速苔青至伊春段政府和社会资本合作（PPP）项目社会资本方招标最高投标限价及理论成本价报告编制技术咨询合同</t>
    </r>
  </si>
  <si>
    <t>最高限价及理论成本价报告编制</t>
  </si>
  <si>
    <r>
      <t>G111</t>
    </r>
    <r>
      <rPr>
        <sz val="10"/>
        <rFont val="宋体"/>
        <charset val="134"/>
      </rPr>
      <t>1</t>
    </r>
    <r>
      <rPr>
        <sz val="10"/>
        <rFont val="宋体"/>
        <charset val="134"/>
      </rPr>
      <t>鹤哈高速苔青至伊春段工程政府和社会资本合作（PPP）项目前期工作费三方转让协议（限价承继788</t>
    </r>
    <r>
      <rPr>
        <sz val="10"/>
        <rFont val="宋体"/>
        <charset val="134"/>
      </rPr>
      <t>）</t>
    </r>
  </si>
  <si>
    <t>甲方：黑龙江省公路建设中心
乙方：黑龙江省鹤伊高速公路投资建设有限公司
丙方：北京中交建设工程咨询有限公司</t>
  </si>
  <si>
    <t>最高限价及理论成本价报告编制承继</t>
  </si>
  <si>
    <t>122300004140001669/91230717MAC1UBUL67</t>
  </si>
  <si>
    <r>
      <t>G1111鹤哈高速苔青至伊春段工程政府和社会资本合作（PPP）项目前期工作费三方转让协议（承继</t>
    </r>
    <r>
      <rPr>
        <sz val="10"/>
        <color indexed="10"/>
        <rFont val="宋体"/>
        <charset val="134"/>
      </rPr>
      <t>763)</t>
    </r>
  </si>
  <si>
    <t>鹤伊等7个项目政府和社会资本合作（PPP）咨询服务机构ZX1标段咨询服务合同承继合同北漠高速五大连池至嫩江段（承继622）</t>
  </si>
  <si>
    <t>甲方：黑龙江省公路建设中心
乙方：北京中交建设工程咨询有限公司
丙方：黑龙江北漠高速五嫩段工程建设项目有限公司</t>
  </si>
  <si>
    <t xml:space="preserve">122300004140001669/91231121MABU1EG42B </t>
  </si>
  <si>
    <t>哈尔滨都市圈环线北环段政府和社会资本合作（PPP）项目咨询服务合同</t>
  </si>
  <si>
    <t>施工总承包、PPP招标及PPP咨询服务</t>
  </si>
  <si>
    <t>永源至双井段项目施工总承包，双井至木里段PPP社会资本招标及一案二评、编制PPP合同、协助实施机构进行PPP合同谈判、绩效考核评价等</t>
  </si>
  <si>
    <t>李晓飞、杨文丁、陈志宇、李光、李红、周佳彬</t>
  </si>
  <si>
    <t>哈尔滨都市圈环线西南环段政府和社会资本合作（PPP）项目咨询服务合同</t>
  </si>
  <si>
    <t>PPP招标及PPP咨询服务</t>
  </si>
  <si>
    <t>PPP社会资本招标及一案二评、编制PPP合同、协助实施机构进行PPP合同谈判、绩效考核评价等</t>
  </si>
  <si>
    <r>
      <t>德州至上饶高速公路祁门至晥赣界段工程政府和社会资本合同（PPP）咨询服务项目合同与</t>
    </r>
    <r>
      <rPr>
        <sz val="10"/>
        <rFont val="宋体"/>
        <charset val="134"/>
      </rPr>
      <t>G0321德州至上饶高速公路祁门至皖赣界段工程PPP项目物有所值评价报告编制合同补充协议</t>
    </r>
  </si>
  <si>
    <t>支付方式修改及补充</t>
  </si>
  <si>
    <t>咨询服务费支付及物有所值服务费支付方式修改及补充</t>
  </si>
  <si>
    <t>浏阳至江背高速公路特许经营项目实施方案编制咨询合同（承继682）</t>
  </si>
  <si>
    <t>湖南省茶江高速公路建设开发有限公司</t>
  </si>
  <si>
    <t>承继本项目实施方案编制的咨询服务</t>
  </si>
  <si>
    <t>郭星</t>
  </si>
  <si>
    <r>
      <t>9</t>
    </r>
    <r>
      <rPr>
        <sz val="10"/>
        <rFont val="宋体"/>
        <charset val="134"/>
      </rPr>
      <t>1430100MABYWGA85H</t>
    </r>
  </si>
  <si>
    <t>许广高速茶亭互通至长沙绕城高速特许经营项目实施方案编制咨询合同（承继683）</t>
  </si>
  <si>
    <t>黑龙江省收费公路联网收费运营服务招标代理服务合同</t>
  </si>
  <si>
    <t>黑龙江省收费公路联网运营结算中心</t>
  </si>
  <si>
    <t>服务招标</t>
  </si>
  <si>
    <t>黑友江收费公路联网收费运营服务招标</t>
  </si>
  <si>
    <t>房启军、秦晓东、郭立卓</t>
  </si>
  <si>
    <r>
      <t>1</t>
    </r>
    <r>
      <rPr>
        <sz val="10"/>
        <rFont val="宋体"/>
        <charset val="134"/>
      </rPr>
      <t>2230000MB1A95549X</t>
    </r>
  </si>
  <si>
    <t>京哈高速拉林河（吉黑省界）至哈尔滨段改扩建工程交通组织道路维修设计变更工程项目招标代理合同</t>
  </si>
  <si>
    <t>路面、交安施工招标</t>
  </si>
  <si>
    <t>哈尔滨至通河等5个项目初步勘察设计招标代理合同</t>
  </si>
  <si>
    <t>昂昂溪至富拉尔基至碾子山等4个项目工可编制和初步勘察设计一体化招标代理合同</t>
  </si>
  <si>
    <t>工可、初步勘察设计招标</t>
  </si>
  <si>
    <t>工程可行性研究报告编制和初步勘察设计一体化招标</t>
  </si>
  <si>
    <t>国道丹阿公路吉黑省界（珲春）至东宁段改扩建工程东宁连接线西山延长线及增设虎豹廊道招标代理合同</t>
  </si>
  <si>
    <t>施工、监理招标</t>
  </si>
  <si>
    <t>青兰国家高速公路长治至延安联络线（G2211）山西境黎城至霍州段2022年第二批车辆租赁服务采购代理合同</t>
  </si>
  <si>
    <t>汽车租赁服务</t>
  </si>
  <si>
    <t>应县至繁峙高速公路PPP项目咨询服务合同协议书</t>
  </si>
  <si>
    <t>朔州市交通运输局</t>
  </si>
  <si>
    <t>一案二评</t>
  </si>
  <si>
    <t>PPP实施方案、物有所值评价报告、财政承受能力论证报告并配合完成申报审批工作PPP项目合同；协助实施机构进行PPP合同谈判</t>
  </si>
  <si>
    <t>11140600012465470B</t>
  </si>
  <si>
    <t>鹤大高速佳木斯过境段PPP项目“两评一案”调整相关咨询服务合同</t>
  </si>
  <si>
    <t>调整PPP实施方案；调整物有所值、财政承受能力论证报告；编制PPP项目补充合同；配合调整后上报批准、完善平台信息和资料</t>
  </si>
  <si>
    <t>鹤大高速佳木斯过境段PPP项目“两评一案”调整相关咨询服务三方协议（承继803）</t>
  </si>
  <si>
    <t>甲方：黑龙江省公路建设中心
乙方：北京中交建设工程咨询有限公司
丙方：佳木斯鹤大高速投资建设有限公司</t>
  </si>
  <si>
    <t>承继本项目调整PPP实施方案；调整物有所值、财政承受能力论证报告；编制PPP项目补充合同；配合调整后上报批准、完善平台信息和资料等</t>
  </si>
  <si>
    <t>122300004140001669/91230800MA1BGPC19F</t>
  </si>
  <si>
    <t>松花江依兰航电枢纽工程咨询服务合同</t>
  </si>
  <si>
    <t>黑龙江省松花江航运枢纽建设运行中心</t>
  </si>
  <si>
    <t>全过程</t>
  </si>
  <si>
    <t>前期咨询、一案二评、PPP招标及最高限价、合同咨询服务、其他咨询服务</t>
  </si>
  <si>
    <t>122300005742116247</t>
  </si>
  <si>
    <t>铁科高速公路延寿尚志界至五常段政府和社会资本合作（PPP）项目施工监理及试验检测机构招标代理三方协议（承继677）</t>
  </si>
  <si>
    <t>甲方：黑龙江省公路建设中心
乙方：中铁（黑龙江）高速公路投资有限公司
丙方：北京中交建设工程咨询有限公司</t>
  </si>
  <si>
    <t>承继本项目施工、监理、试验检测招标</t>
  </si>
  <si>
    <t>122300004140001669/91230109MABN85FC94</t>
  </si>
  <si>
    <t>吉黑高速明水至北安段项目施工总承包及PPP咨询等服务合同</t>
  </si>
  <si>
    <t>招标代理、PPP咨询和造价咨询</t>
  </si>
  <si>
    <t>一案二评、PPP招标、编制PPPP合同、最高限价、绩效评价等</t>
  </si>
  <si>
    <t>吉黑高速哈尔滨至明水段项目施工总承包及PPP咨询等服务合同</t>
  </si>
  <si>
    <t>新疆G219吉克普林--喀纳斯公路建设项目招标代理合同</t>
  </si>
  <si>
    <t>工程、服务、货物招标</t>
  </si>
  <si>
    <t>本项目工程招标、服务招标、货物招标（如需要）等招标代理服务</t>
  </si>
  <si>
    <t>126500004576067589</t>
  </si>
  <si>
    <t>新疆S317线托里老风口--裕民公路建设项目招标代理合同</t>
  </si>
  <si>
    <t>新疆交通投资（集团）有限责任公司2023-2025年度招标代理服务项目入围合同</t>
  </si>
  <si>
    <t>新疆交通投资（集团）有限责任公司</t>
  </si>
  <si>
    <t>91650109795790391X</t>
  </si>
  <si>
    <t>宜都至来凤高速公路鹤峰东段造价咨询合同</t>
  </si>
  <si>
    <t>金交恒通有限公司</t>
  </si>
  <si>
    <t>肖博</t>
  </si>
  <si>
    <t>911100000942573082</t>
  </si>
  <si>
    <t>许广高速茶亭互通至长沙绕城高速公路特许经营项目投资人招标代理委托合同</t>
  </si>
  <si>
    <t>古交-娄烦-方山高速公路PPP项目全过程咨询及招标代理服务合同协议书</t>
  </si>
  <si>
    <t>PPP全过程咨询服务、招标采购代理及限价编制服务</t>
  </si>
  <si>
    <t>包括但不限于PPP一案二评、编制PPP合同、协助PPP合同谈判；包括但不限于工可咨询、专项评估咨询、勘设咨询、PPP社会资本方招标、施工、监理、设备材料等招标代理；工程量清单和最高限价的编制</t>
  </si>
  <si>
    <t>11140100012187247Y</t>
  </si>
  <si>
    <t>新疆自治区公路管理局2021下半年至2022年度招标代理机构甄选项目第四合同包（哈密、吐鲁番片区）招标代理服务合同</t>
  </si>
  <si>
    <t>郭浩浩</t>
  </si>
  <si>
    <t>12650000457601228M</t>
  </si>
  <si>
    <t>新疆自治区公路管理局2021下半年至2022年度招标代理机构甄选项目第四合同包（哈密、吐鲁番片区）招标代理服务合同补充协议书</t>
  </si>
  <si>
    <t>新疆维吾尔自治区公路事业发展中心</t>
  </si>
  <si>
    <t>新疆维吾尔自治区一、二级收费公路ETC建设工程招标代理服务合同</t>
  </si>
  <si>
    <t>设计、施工、监理招标</t>
  </si>
  <si>
    <t>本项目的设计、施工、监理招标</t>
  </si>
  <si>
    <t>新疆维吾尔自治区一、二级收费公路ETC建设工程招标代理服务合同补充协议书</t>
  </si>
  <si>
    <t>竣（交）工验收质量检测项目招标</t>
  </si>
  <si>
    <t>本项目的竣（交）工验收质量检测项目招标</t>
  </si>
  <si>
    <t>新疆新路公路养护集团有限责任公司2022-2023年冬季除雪设备租赁项目谈判采购招标代理合同</t>
  </si>
  <si>
    <t>新疆新路公路养护集团有限责任公司</t>
  </si>
  <si>
    <t>材料谈判采购</t>
  </si>
  <si>
    <t>车辆租赁谈判采购，具体内容为编制采购文件，发布采购公告或发出采购邀请书，接收响应文件，评审，编写采购代理服务报告等项工作内容。</t>
  </si>
  <si>
    <t>91654200731832388L</t>
  </si>
  <si>
    <t>山西黎霍高速公路有限公司机房设备扩容增改采购项目采购代理服务合同</t>
  </si>
  <si>
    <t>设备谈判采购</t>
  </si>
  <si>
    <t>机房设备扩容增改采购项目谈判采购</t>
  </si>
  <si>
    <t>青兰国家高速公路长治致延安联络线（G2211）山西境黎城至霍州段土地供地、不动产证登记手续技术服务采购代理服务合同</t>
  </si>
  <si>
    <t>青兰国家高速公路长治致延安联络线（G2211）山西境黎城至霍州段土地供地、不动产证登记手续技术服务招标</t>
  </si>
  <si>
    <t>哈密公路管理局2022年度G312线G331线S328线路面预防性养护工程（第二批）招标代理服务合同</t>
  </si>
  <si>
    <t>哈密公路管理局</t>
  </si>
  <si>
    <t>哈密公路管理局2022年度G312线G331线S328线路面预防性养护工程（第二批）招标</t>
  </si>
  <si>
    <t>12652200MB1105373C</t>
  </si>
  <si>
    <t>2022年哈密公路管理局S249线、S328线标志标线及S303线精细化提升工程招标代理服务合同</t>
  </si>
  <si>
    <t>2022年哈密公路管理局S249线、S328线标志标线及S303线精细化提升工程竞争性磋商</t>
  </si>
  <si>
    <t>ISO质量认证</t>
  </si>
  <si>
    <t>ISO质量认证、环境管理体系认证、职业安全管理体系认证</t>
  </si>
  <si>
    <t>刘奕</t>
  </si>
  <si>
    <t>91110105741575522M</t>
  </si>
  <si>
    <t>新疆交投天北高速公路有限责任公司G3014线裂缝处治工程招标代理合同</t>
  </si>
  <si>
    <t xml:space="preserve">91650200MA7910RJ0Q </t>
  </si>
  <si>
    <t>新疆公路管理局2020年公路养护项目（阿克苏、和田）招标代理服务合同</t>
  </si>
  <si>
    <t>巴州轮台县阳霞矿区公路建设项目政府和社会资本合作（PPP）前期咨询及招标代理合同</t>
  </si>
  <si>
    <t>PPP前期咨询及招标代理</t>
  </si>
  <si>
    <t>前期咨询：实施方案的编制、物有所值评价报告的编制、财政承受能力论证报告的编制及其他前期咨询服务；
招标代理：本项目全过程招标代理工作及PPP项目合同、合资协议、项目公司章程的起草、谈判等工作。</t>
  </si>
  <si>
    <t xml:space="preserve">11652800010448474A </t>
  </si>
  <si>
    <t>湖北交通投资集团有限公司参加巴东至张家界高速沪蓉渝连接线（含巴东长江二桥）投资人投标合作单位遴选招标代理委托合同</t>
  </si>
  <si>
    <t>湖北交通投资集团有限公司</t>
  </si>
  <si>
    <t>本项目投资人投标合作单位招标、响应性谈判</t>
  </si>
  <si>
    <t>王淑波、王显雷</t>
  </si>
  <si>
    <t xml:space="preserve">91420000562707438F </t>
  </si>
  <si>
    <t>蕲春至太湖高速公路蕲春东段项目招标代理合同补充合同</t>
  </si>
  <si>
    <t>施工承包合同预算、工程量清单、技术规范、计量规则的编制</t>
  </si>
  <si>
    <t>91421126MA7JLHCD02</t>
  </si>
  <si>
    <t>温州市本及政府投资项目财政审查（审核）服务框架协议</t>
  </si>
  <si>
    <t>温州市财政项目预算审核中心</t>
  </si>
  <si>
    <t>政府投资项目造价审查</t>
  </si>
  <si>
    <t>12330300699506004U</t>
  </si>
  <si>
    <t>山西黎霍高速公路有限公司保安、保洁服务采购代理服务合同</t>
  </si>
  <si>
    <t>保安、保洁报告采购</t>
  </si>
  <si>
    <t>昂昂溪至富拉尔基至碾子山公路项目招标（采购）代理合同</t>
  </si>
  <si>
    <t>项目专项评估编制单位的选择（公开招标或询比采购形式）</t>
  </si>
  <si>
    <t>哈尔滨至阿城高速扩容项目招标（采购）代理合同</t>
  </si>
  <si>
    <t>哈尔滨都市圈环线西南环段政府和社会资本合作（PPP）项目社会资本方招标最高投标限价及理论成本价报告编制技术咨询合同</t>
  </si>
  <si>
    <t>哈尔滨都市圈环线西南环段政府和社会资本合作（PPP）项目前期工作费三方转让协议（PPP咨询费转让）</t>
  </si>
  <si>
    <t>甲方：黑龙江省公路建设中心
乙方：哈尔滨都市圈西楠环线投资有限公司
丙方：北京中交建设工程咨询有限公司</t>
  </si>
  <si>
    <t>PPP咨询费转让</t>
  </si>
  <si>
    <t>122300004140001669/91230109MAC5GUFY6L</t>
  </si>
  <si>
    <t>哈尔滨都市圈环线西南环段政府和社会资本合作（PPP）项目前期工作费三方转让协议（限价编制咨询费转让）</t>
  </si>
  <si>
    <t>限价编制及理论成本报告编制咨询费转让</t>
  </si>
  <si>
    <t>哈尔滨都市圈环线北环双井至里木店段政府和社会资本合作（PPP）项目社会资本方招标最高投标限价及理论成本价报告编制技术咨询合同</t>
  </si>
  <si>
    <t>哈尔滨都市圈环线北环双井至里木店段政府和社会资本合作（PPP）项目前期工作费三方转让协议（PPP咨询费转让）</t>
  </si>
  <si>
    <t>哈尔滨都市圈环线北环双井至里木店段政府和社会资本合作（PPP）项目前期工作费三方转让协议（限价编制咨询费转让)</t>
  </si>
  <si>
    <t>醉美龙江331边防路抚远至漠河（省界）段项目政府和社会资本合作（PPP）《咨询服务合同》之补充合同一期（一批）交旅设施</t>
  </si>
  <si>
    <t>甲方：黑龙江省公路事业发展中心
乙方：北京中交建设工程咨询有限公司
丙方：黑龙江丹阿公路智慧交旅一批投资发展有限公司</t>
  </si>
  <si>
    <t>12230000414002719X/91230109MA7EC54Y5D</t>
  </si>
  <si>
    <t>醉美龙江331边防路抚远至漠河（省界）段项目政府和社会资本合作（PPP）《咨询服务合同》之补充合同一期（二批）交旅设施</t>
  </si>
  <si>
    <t>甲方：黑龙江省公路事业发展中心
乙方：北京中交建设工程咨询有限公司
丙方：黑龙江丹阿公路智慧交旅二批投资发展有限公司</t>
  </si>
  <si>
    <t>12230000414002719X/91230113MACJX5BD6C</t>
  </si>
  <si>
    <t>湖北交通投资集团有限公司2023年度交通基础设施建设项目招标代理咨询服务委托合同</t>
  </si>
  <si>
    <t>土建、路面及附属等施工、监理招标及造价咨询服务</t>
  </si>
  <si>
    <t>JTZBDL-2标段各项目投资人投标合作单位遴选代理服务及前期造价咨询服务、各高速公路一期土建、二期路面及三期交安、机电、房建工程的勘察、设计、施工、监理及与工程建设有关的重要设备、材料、工程咨询服务的招标代理咨询服务工作。</t>
  </si>
  <si>
    <t>王淑波、李晓飞</t>
  </si>
  <si>
    <t>杨文丁、魏超、杜晓雷</t>
  </si>
  <si>
    <t>国道309线晋冀界至长治临汾界段改扩建工程招标代理服务合同协议书</t>
  </si>
  <si>
    <t>PPP招标采购代理及限价编制服务</t>
  </si>
  <si>
    <t>PPP项目社会资本方（含起草PPP项目合同）、PPP项目咨询、项目勘察设计、项目勘察设计咨询、工程施工、施工监理、试验检测、要路审计服务、专项评估、全过程咨询（如有）、技术服务、重要设备材料等的招标或采购代理业务；
招标和采购项目的工程量清单复核和最高投标限价编制（如有）</t>
  </si>
  <si>
    <t>12140000406270879E</t>
  </si>
  <si>
    <t>青兰国家高速公路长治至延安联络线（G2211）山西境黎城至霍州段采空区处治工程CKQ6-1标段施工采购代理服务合同</t>
  </si>
  <si>
    <t>CKQ6-1标段施工采购</t>
  </si>
  <si>
    <t>青兰国家高速公路长治至延安联络线（G2211）山西境黎城至霍州段收费站专项审计服务采购代理服务合同</t>
  </si>
  <si>
    <t>收费站专项审计服务询比采购</t>
  </si>
  <si>
    <t>山西黎霍高速公路有限公司宣传视频拍摄服务采购代理服务</t>
  </si>
  <si>
    <t>宣传视频拍摄服务询比采购</t>
  </si>
  <si>
    <t>新新张官公司采购及招标代理服务协议书</t>
  </si>
  <si>
    <t>青兰国家高速公路长治至延安联络红（G2211）山西境黎城至霍州段路面、桥隧、交安、机电等工程交工验收质量检测服务采购代理服务合同</t>
  </si>
  <si>
    <t>服务及限价编制</t>
  </si>
  <si>
    <t>黎霍高速公路路面、桥隧、交安、机电等工程交工验收质量检测服务招标的采购代理服务，以及上述采购项目中需要公开招标的最高限价编制</t>
  </si>
  <si>
    <t>青兰国家高速公路长治至延安联络线（G2211）山西境黎城至霍州段厨房用具采购代理服务合同</t>
  </si>
  <si>
    <t>货物</t>
  </si>
  <si>
    <t>厨房用具采购</t>
  </si>
  <si>
    <t>国道208线晋中长治界至屯留小河北段改扩建工程社会资本方招标代理和PPP项目咨询服务合同补充协议</t>
  </si>
  <si>
    <t>承担本项目监理、试验检测、科技示范工程技术咨询服务等招标代理工作</t>
  </si>
  <si>
    <t>蕲春至太湖高速公路蕲春东段QCDTJ-2项目造价咨询合同</t>
  </si>
  <si>
    <t>湖北交投建设集团有限公司</t>
  </si>
  <si>
    <t>蕲春东段第2合同段（土建、路面、绿化）咨询咨询（编制工程量清单、施工承包合同预算、技术规范、计量规则等相关工作）。</t>
  </si>
  <si>
    <t>914210000096889202K</t>
  </si>
  <si>
    <t>G4京港澳高速羊楼司（湘鄂界）至岳阳龙湾段扩容工程和G4京港澳高速岳阳龙湾至长沙广福段扩容工程特许经营项目捆绑测算报告编制合同</t>
  </si>
  <si>
    <t>桂东至新田（宁远）高速公路桂东至郴州段项目修编制特许经营方案咨询合同</t>
  </si>
  <si>
    <t>修编特许经营方案</t>
  </si>
  <si>
    <t>修编本项目特许经营方案</t>
  </si>
  <si>
    <t>G4京港澳高速株洲王十万（朱亭）至耒阳大市段扩容工程项目修编特许经营方案咨询合同</t>
  </si>
  <si>
    <t>湖北交通投资集团有限公司参加房县至五峰高速公路房县段投资人投标合同单位遴选招标代理委托合同</t>
  </si>
  <si>
    <t>投资人招标、响应性谈判</t>
  </si>
  <si>
    <t>湖北交通投资集团有限公司参加房县至五峰高速公路兴山段投资人投标合同单位遴选招标代理委托合同</t>
  </si>
  <si>
    <t>湖北交通投资集团有限公司参加房县至五峰高速公路长阳至五峰段投资人投标合作单位遴选招标代理委托合同</t>
  </si>
  <si>
    <t>湖北交通投资集团有限公司参加二广高速公路荆州绕城段（不含李埠长江公铁大桥）项目投资人投标合作单位遴选招标代理委托合同</t>
  </si>
  <si>
    <t>鄂州机场高速二期工程招标代理咨询服务委托合同</t>
  </si>
  <si>
    <t>湖北交投花湖机场高速公路有限公司</t>
  </si>
  <si>
    <t>勘察设计、施工、监理、材料采购等招标及造价咨询</t>
  </si>
  <si>
    <t>项目勘察、设计、施工、监理以及与工程建设有关的重要设备、材料、工程咨询服务的招标代理咨询服务工作，以及前期造价咨询工作</t>
  </si>
  <si>
    <t>房启军</t>
  </si>
  <si>
    <t>91420281MACPXCGY4H</t>
  </si>
  <si>
    <t>黑龙江省乌苏里江水利项目招标咨询合作协议书（付）</t>
  </si>
  <si>
    <t>黑龙江省恒焱工程项目咨询有限公司</t>
  </si>
  <si>
    <t>本项目招标咨询合作协议</t>
  </si>
  <si>
    <t>91230110MA1BW2QW6N</t>
  </si>
  <si>
    <t>青兰国家高速公路长治延安联络线（G2211）山西境黎城至霍州段办公家具采购代理服务合同</t>
  </si>
  <si>
    <t>本项目办公家具采购</t>
  </si>
  <si>
    <t>国道208线晋中长治界至屯留小河北段改扩建工程招标代理合同</t>
  </si>
  <si>
    <t>中交一公局（长治）投资建设有限公司</t>
  </si>
  <si>
    <t>施工、设备材料、试验检测、咨询服务、技术等服务招标</t>
  </si>
  <si>
    <t>本项目施工以及与工程建设有关的重要设备材料、试验检测、咨询服务、技术服务等招标代理工作</t>
  </si>
  <si>
    <t>91140430MA7XJT424K</t>
  </si>
  <si>
    <t>阿克苏公路管理局及和田公路管理局2023年度招标项目合作协议（付，仅此一份）</t>
  </si>
  <si>
    <t>新疆仟盛企业管理服务有限公司</t>
  </si>
  <si>
    <t>本项目招标合作协议</t>
  </si>
  <si>
    <t>91650105MA7N9WHA7M</t>
  </si>
  <si>
    <t>青兰国家高速公路长治至延安联络红（G2211）山西境黎城至霍州段（黎城至沁源段）通车仪式服务采购代理服务合同</t>
  </si>
  <si>
    <t>询比采购</t>
  </si>
  <si>
    <t>通车仪式服务采购</t>
  </si>
  <si>
    <t>G4京港澳高速羊楼司（湘鄂界）至岳阳龙湾段扩容工程和G4京港澳高速岳阳龙湾至长沙广福段扩容工程项目包投资人招标代理委托合同</t>
  </si>
  <si>
    <t>本项目投资人招标</t>
  </si>
  <si>
    <t>安化至溆浦高速公路特许经营项目修编特许经营方案咨询合同</t>
  </si>
  <si>
    <t>广西大新硕龙口岸（升格）基础设施工程-硕龙口岸（硕龙主通道）二期项目招标代理合同</t>
  </si>
  <si>
    <t>广西崇左市城市建设投资发展集团有限公司</t>
  </si>
  <si>
    <t>亚投行施工、监理招标</t>
  </si>
  <si>
    <t>亚投行本项目监理和施工总承包招标</t>
  </si>
  <si>
    <t>91451400756539380H</t>
  </si>
  <si>
    <t>房县至五峰高速公路房县段投资人投标合作单位遴选招标造价咨询合同</t>
  </si>
  <si>
    <t>本项目造价咨询服务</t>
  </si>
  <si>
    <t>陶意诚</t>
  </si>
  <si>
    <t>房县至五峰高速公路兴山段投资人投标合作单位遴选招标造价咨询合同</t>
  </si>
  <si>
    <t>房县至五峰高速公路长阳至五峰段投资人投标合作单位遴选招标造价咨询合同</t>
  </si>
  <si>
    <t>巴东至张家界高速沪蓉沪渝连接线（含巴东长江二桥）投资人投标合作单位遴选招标造价咨询合同</t>
  </si>
  <si>
    <t>二广高速公路荆州绕城段（K1+000.362~K52+757.044不含李埠长江大桥）投资人投标合作单位遴选招标造价咨询合同</t>
  </si>
  <si>
    <t>巴东至张家界高速沪蓉沪渝连接线（含巴东长江二桥）招标代理咨询服务委托合同</t>
  </si>
  <si>
    <t>湖北交投巴野高速公路有限公司</t>
  </si>
  <si>
    <t>勘察、设计、施工、监理、设备、材料、工程咨询、造价咨询</t>
  </si>
  <si>
    <t>本项目勘察、设计、施工、监理以及与工程建设有关的重要设备、材料、工程咨询服务的招标代理咨询服务工作，以及前期造价咨询工作</t>
  </si>
  <si>
    <t>91422823MAD23HTW1H</t>
  </si>
  <si>
    <t>黑龙江《国道三莫公路长汀至双峰（雪乡）段水毁修复招标代理服务合同》补充协议</t>
  </si>
  <si>
    <t>甲方：黑龙江省公路建设中心
乙方：黑龙江省公路事业发展中心
丙方：北京中交建设工程咨询有限公司</t>
  </si>
  <si>
    <t>变更委托人</t>
  </si>
  <si>
    <t>宋会龙</t>
  </si>
  <si>
    <t>122300004140001669/12230000414002719X</t>
  </si>
  <si>
    <t>若羌至民丰高速公路绩效评咨询服务合同协议书</t>
  </si>
  <si>
    <t>绩效评价</t>
  </si>
  <si>
    <t>服务内容为建设期绩效评价服务1次，运营期第1年至第5年每年1次，共5次；项目中期评估服务1次，以及运营期每年年度通行费补贴额（或分享额）和实际内部收益率的测算等等。</t>
  </si>
  <si>
    <t>张圣昊</t>
  </si>
  <si>
    <t>若羌至民丰高速公路绩效评咨询服务合同协议书》有关事宜的三方协议</t>
  </si>
  <si>
    <t>甲方：巴音郭楞蒙古自治州交通运输局
乙方：巴州中铁工程建设有限公司
丙方：北京中交建设工程 咨询有限公司</t>
  </si>
  <si>
    <t>变更支付协议</t>
  </si>
  <si>
    <t>咨询服务费由乙方承担</t>
  </si>
  <si>
    <t>11652800010448474A/91652825MA77PW771Q</t>
  </si>
  <si>
    <t>牡延高速杏山至老爷岭（黑吉省界）段项目政府和社会资本合作（特许经营）咨询机构第ZX1标段咨询服务合同</t>
  </si>
  <si>
    <t>特许经营咨询、施工、监理、试验检测招标</t>
  </si>
  <si>
    <t>特许经营咨询及招标代理服务工作，包括本项目由特许经营模式变更为其他方式（如政府投资模式、施工总承包+特许经营模式等）执行后的特许经营咨询和施工、施工监理及试验检测机构等招标代理工作</t>
  </si>
  <si>
    <t>徐峻康</t>
  </si>
  <si>
    <t>山西黎霍高速公路有限公司2024-2025年度保洁服务采购代理服务合同</t>
  </si>
  <si>
    <t>保洁服务询比采购</t>
  </si>
  <si>
    <t>山西黎霍高速公路有限公司2024-2025年度保安用工外包采购项目代理服务合同</t>
  </si>
  <si>
    <t>保安用工外包询比采购</t>
  </si>
  <si>
    <t>山西黎霍高速公路有限公司2024年度劳保用品项目采购代理服务合同</t>
  </si>
  <si>
    <t>劳保用品项目询比采购</t>
  </si>
  <si>
    <t>山西黎霍高速公路有限公司办公楼二层会客室、三层会议室、五层会议室装饰装修工程项目采购代理服务合同</t>
  </si>
  <si>
    <t>办公楼二层会客室、三层会议室、五层会议室装饰装修工程项目询比采购</t>
  </si>
  <si>
    <t>山西黎霍高速公路有限公司办公楼展厅装饰装修工程项目采购代理服务合同</t>
  </si>
  <si>
    <t>办公楼展厅装饰装修工程项目询比采购</t>
  </si>
  <si>
    <t>山西黎霍高速公路有限公司2024-2025年度食堂餐饮服务项目采购代理服务合同</t>
  </si>
  <si>
    <t>2024-2025年度食堂餐饮服务项目询比采购</t>
  </si>
  <si>
    <t>山西黎霍高速公路有限公司2024-2025年度水电管道工、低压电工、司机劳务外包项目采购服务合同</t>
  </si>
  <si>
    <t>2024-2025年度水电管道工、低压电工、司机劳务外包项目询比采购</t>
  </si>
  <si>
    <t>山西黎霍高速公路有限公司办理2024年度职工健康体检服务采购代理服务合同</t>
  </si>
  <si>
    <t>办理2024年度职工健康体检服务询比采购</t>
  </si>
  <si>
    <t>山西黎霍高速公路有限公司车辆商业保险服务采购代理服务合同</t>
  </si>
  <si>
    <t>车辆商业保险服务采购代理服务询比采购</t>
  </si>
  <si>
    <t>山西黎霍高速公路有限公司办理智慧档案设备及配套服务代理服务合同</t>
  </si>
  <si>
    <t>货物招标</t>
  </si>
  <si>
    <t>办理智慧档案设备及配套服务询比采购</t>
  </si>
  <si>
    <t>山西黎霍高速公路有限公司第二阶段全员综合素质服务提升培训服务采购项目合同</t>
  </si>
  <si>
    <t>第二阶段全员综合素质服务提升培训服务招标</t>
  </si>
  <si>
    <t>青兰国家高速公路长治至延安联络线（G2211）山西境黎城至霍州段运营管理辆及养护设备采购代理服务合同</t>
  </si>
  <si>
    <t>运营管理辆及养护设备采购招标</t>
  </si>
  <si>
    <t>沁源县棉上至程壁公路段家庄--程壁段改建工程设计施工总承包招标代理服务合同</t>
  </si>
  <si>
    <t>沁源县交通运输局</t>
  </si>
  <si>
    <t>设计施工总承包招标</t>
  </si>
  <si>
    <t>本项目范围内的路基、路面、桥涵、隧道、交通工程及沿线设施、绿化工程等的施工图设计和工程施工</t>
  </si>
  <si>
    <t>1114043101241506X9</t>
  </si>
  <si>
    <t>山西省交通运输厅关于太原古交至吕梁方山高速公路等29个项目特许经营方案审查技术咨询第5标段技术咨询合同</t>
  </si>
  <si>
    <t>特许经营咨询、咨询评估</t>
  </si>
  <si>
    <t>特许经营方案进行审查、评估与论证，并出具审查咨询评估报告</t>
  </si>
  <si>
    <t>1114000001215025X5</t>
  </si>
  <si>
    <t>国道341线屯留张店至沁源古县界段升级改造工程招标代理服务合同协议书</t>
  </si>
  <si>
    <t>全过程招标、造价咨询</t>
  </si>
  <si>
    <t>特许经营者（含起草特许经营协议）、全过程咨询（特许经营方案编制、项目勘察设计、专项评估等）、项目勘察设计咨询（如有）、工程施工（如有）、施工监理（如有）、施工监理（如有）、试验检测（如有）、跟踪审计服务（如有）、技术服务（如有）、重要设备材料（如有）等的招标或采购代理服务。
工程量清单复核和最高投标限价编制（如有）</t>
  </si>
  <si>
    <t>陈志宇、魏超</t>
  </si>
  <si>
    <t>永和341、临汾江蒲光襄两个项目咨询服务合同书（含投资可行性研究、风险防控分析）</t>
  </si>
  <si>
    <t>编制投资可行性研究报告、风险防控分析报告、特许经营</t>
  </si>
  <si>
    <t>编制《项目投资可行性研究报告》、《项目风险防控报告》、特许经营方案等</t>
  </si>
  <si>
    <t>洪洞至大宁高速公路等项目工程可行性报告审查技术咨询</t>
  </si>
  <si>
    <t>工程可行性研究报告审查技术咨询服务招标</t>
  </si>
  <si>
    <t>省道314线太原境内东部郭湫至西关口段公路改建工程招标代理补充协议书</t>
  </si>
  <si>
    <t>山西省公路局太原分局</t>
  </si>
  <si>
    <t>特许经营者确定前的各项招标代理工作、确定后的各项招标代理工作、工程量清单复核和最高限价编制</t>
  </si>
  <si>
    <t>12140000405706925E</t>
  </si>
  <si>
    <t>省道314线太原境内东郭湫至西关口段公路改建工程招标代理协议书</t>
  </si>
  <si>
    <t>古交-娄烦-方山高速公路PPP项目全过程咨询及招标代理服务--补充合同协议书</t>
  </si>
  <si>
    <t>一案二评变更为：特许经营</t>
  </si>
  <si>
    <t>PPP项目实施方案，变更为特许经营方案；二评，变更为特许经营模式可行性论证和评估；PPP项目合同，变更为特许经营协议</t>
  </si>
  <si>
    <t>青兰国家高速公路长治至延安联络线（G2211）山西境黎城至霍州段（黎城至沁源段）日常保洁、部分维修保养及应急工程采购代理服务合同</t>
  </si>
  <si>
    <t>日常保洁、部分维修保养及应急工程询比采购</t>
  </si>
  <si>
    <t>青兰国家高速公路长治至延安联络线（G2211）山西境黎城至霍州段融雪剂采购代理服务合同</t>
  </si>
  <si>
    <t>融雪剂询比采购</t>
  </si>
  <si>
    <t>鄂州机场高速公路二期EJTZ-1造价咨询合同</t>
  </si>
  <si>
    <t>湖北交投建设集团有限公司鄂州机场高速公路二期EJTZ-1项目经理部</t>
  </si>
  <si>
    <t>造价咨询（编制工程量清单、施工承包合同预算、计量规则等相关工作）。</t>
  </si>
  <si>
    <t>91420000096889202K</t>
  </si>
  <si>
    <t>巴东至张家界高速沪蓉沪渝连接线（含巴东长江二桥）造价咨询合同</t>
  </si>
  <si>
    <t>工程量清单编制与复核、最高投标限价编制、编制或审核0号清单、工程变更中委托人需要的造价管理工作等等</t>
  </si>
  <si>
    <t>新疆交投高速公路服务区充电桩运营管理平台服务采购项目招标代理合同</t>
  </si>
  <si>
    <t>新疆交投实业有限责任公司</t>
  </si>
  <si>
    <t>新能源充电桩运营管理平台服务采购</t>
  </si>
  <si>
    <t>李晓飞、张胜</t>
  </si>
  <si>
    <t>91650100MA7ACC0J2A</t>
  </si>
  <si>
    <t>新疆交投实业有限责任公司监控信息调度中心项目弱电管道与网线铺设工程招标代理合同</t>
  </si>
  <si>
    <t>监控信息调度中心项目弱电管道与网线铺设</t>
  </si>
  <si>
    <t>新疆交投实业有限责任公司监控信息调度中心楼宇智能化设备采购与安装工程招标代理合同</t>
  </si>
  <si>
    <t>监控信息调度中心楼宇智能化设备采购与安装工程</t>
  </si>
  <si>
    <t>新疆交通投资（集团）有限责任公司档案管理系统建设项目招标代理合同</t>
  </si>
  <si>
    <t>档案管理系统建设项目</t>
  </si>
  <si>
    <t>新疆交投2023年服务区品质提升项目施工招标代理合同</t>
  </si>
  <si>
    <t>新疆交通投资（集团）有限责任公司运营分公司</t>
  </si>
  <si>
    <t>新疆交投2023年16处服务区（双侧）品质提升改造工程施工</t>
  </si>
  <si>
    <t>91650100MA78FK9Q3B</t>
  </si>
  <si>
    <t>S103线芨南立交至艾维尔沟至阿乐惠镇公路工程土地使用权勘测定界咨询服务项目委托代理协议</t>
  </si>
  <si>
    <t>新疆中天山公路发展有限责任公司</t>
  </si>
  <si>
    <t>S103线芨南立交至艾维尔沟至阿乐惠镇公路工程土地使用权勘测定界咨询服务</t>
  </si>
  <si>
    <t>91650103MACDY55J71</t>
  </si>
  <si>
    <t>新疆S21阿勒泰至乌鲁木齐高速公路5对服务区超市对外招商采购项目招标代理合同</t>
  </si>
  <si>
    <t>新疆交投阿乌高速公路有限责任公司</t>
  </si>
  <si>
    <t>S21高速公路5对服务区超市对外招商采购</t>
  </si>
  <si>
    <t>91650106MA78KB7C92</t>
  </si>
  <si>
    <t>G5911朔州至太原高速公路特许经营方案编制和审查、工可报告审查技术咨询合同</t>
  </si>
  <si>
    <t>经营方案编制和审查、工可报告审查</t>
  </si>
  <si>
    <t>对项目可行性进行审查评估，对特许经营模式可行性进行审查评估，对特许经营主要内容进行审查评估，协助审查特许经营招标文件、特许经营协议（包括初步协议）等</t>
  </si>
  <si>
    <t>G0513平遥至洛阳高速公路平遥至安泽段特许经营方案编制和审查、工可报告审查技术咨询（第一标包）技术咨询合同</t>
  </si>
  <si>
    <t>特许经营实施方案的编制、起草特许经营协议（包含初步协议），完成方案预审、审查、审批工作及相应修改，起草市场测试文件，完成项目信息入库、披露等，编制特许经营招标文件、协助采购人与项目公司签订特许经营协议</t>
  </si>
  <si>
    <t>国道307、国道339线太原南过境公路改线工程项目特许经营咨询服务合同</t>
  </si>
  <si>
    <t>编制特许经营方案、投资协议、特许经营协议</t>
  </si>
  <si>
    <t>特许经营方案编制及配合评审报批工作，投资协议、特许经营协议及配套协议编制，相关咨询工作</t>
  </si>
  <si>
    <t>G108太原过境段公路新建工程（投融资咨询服务）协议书</t>
  </si>
  <si>
    <t>中国建筑第八工程局有限公司</t>
  </si>
  <si>
    <t>特许经营项目</t>
  </si>
  <si>
    <t>投融资咨询服务及投标过程咨询服务，包括投资可行性分析、工程造价分析、特许经营协议审查、投标过程咨询等，并出具对应的分析报告，主要包括投资可行性分析报告、工程造价分析报告、特许经营协议书审查意见书等</t>
  </si>
  <si>
    <t>9131000063126503X1</t>
  </si>
  <si>
    <t>山西黎霍高速公路有限公司隧道智慧化提升项目配套房建设计服务采购代理服务合同</t>
  </si>
  <si>
    <t>隧道智慧化提升项目配套房建设计服务采购</t>
  </si>
  <si>
    <t>山西黎霍高速公路有限公司办公电脑、打印机采购项目采购代理服务合同</t>
  </si>
  <si>
    <t>办公电脑、打印机采购项目采购</t>
  </si>
  <si>
    <t>G4京港澳高速株洲王十万（朱亭）至耒阳大市段扩容工程捆绑桂东至新田（宁远）高速公路桂东至郴州段项目特许经营方案编制咨询合同</t>
  </si>
  <si>
    <t>特许经营项目编制</t>
  </si>
  <si>
    <t>特许经营方案编制服务</t>
  </si>
  <si>
    <t>G4京港澳高速株洲王十万（朱亭）至耒阳大市段扩容工程捆绑桂东至新田（宁远）高速公路桂东至郴州段项目投资人招标代理委托合同</t>
  </si>
  <si>
    <t>投资人招标，提供《初步协议》和《特许经营协议》签订过程中的其他相关咨询服务</t>
  </si>
  <si>
    <t>新机制下湖南省高速公路项目投资人选择实施路径专题研究咨询服务合同</t>
  </si>
  <si>
    <t>投资人选择实施专题研究</t>
  </si>
  <si>
    <t>新机制下湖南省高速公路项目投资人选择实施专题研究</t>
  </si>
  <si>
    <t>省道366高平市过境段公路改线工程招标代理服务委托合同</t>
  </si>
  <si>
    <t>全过程咨询招标、工可、勘设、施工、监理、审计、材料等招标</t>
  </si>
  <si>
    <t>全过程咨询（项目勘察设计、专项评估等）、工程可行性研究、项目勘察设计咨询、工程施工、施工监理、试验检测、跟踪审计服务、技术服务、重要设备材料以及本项目其他建设模式等所有招标或采购代理业务</t>
  </si>
  <si>
    <t>12140000012420782E</t>
  </si>
  <si>
    <t>桂东（湘赣界）至新田高速公路湘赣界至桂东段项目特许经营方案咨询合同</t>
  </si>
  <si>
    <t>深圳新大生态海堤重建工程（质量专项检测招标代理合同</t>
  </si>
  <si>
    <t>深圳市大鹏新区建筑工务署</t>
  </si>
  <si>
    <t>质量专项检测招标</t>
  </si>
  <si>
    <t>申康</t>
  </si>
  <si>
    <t>124403000504530168</t>
  </si>
  <si>
    <t>山西黎霍高速公路有限公司职工服装采购项目采购代理服务合同</t>
  </si>
  <si>
    <t>职工服务采购项目</t>
  </si>
  <si>
    <t>山西黎霍高速公路有限公司运营期突发事件综合应急预案编制、评审和备案服务采购项目采购代理合同</t>
  </si>
  <si>
    <t>运营期突发事件综合应急预案编制、评审和备案服务采购</t>
  </si>
  <si>
    <t>山西黎霍高速公路有限公司运营安全生产标准化建设技术咨询和考评服务采购项目采购代理服务合同</t>
  </si>
  <si>
    <t>运营安全生产标准化建设技术咨询和考评服务采购</t>
  </si>
  <si>
    <t>山西黎霍高速公路有限公司融雪剂采购项目采购代理服务合同</t>
  </si>
  <si>
    <t>融雪剂采购项目采购</t>
  </si>
  <si>
    <t>山西黎霍高速公路有限公司隧道智慧化提升配套房建工程施工监理服务采购代理服务合同</t>
  </si>
  <si>
    <t>隧道智慧化提升配套房建工程施工监理服务采购</t>
  </si>
  <si>
    <t>山西黎霍高速公路有限公司养护设施备品备件采购项目采购代理服务合同</t>
  </si>
  <si>
    <t>养护设施备品务件采购项目采购</t>
  </si>
  <si>
    <t>山西黎霍高速公路有限公司生产用车和机械设备维修保养服务采购代理服务合同</t>
  </si>
  <si>
    <t>生产用车和机械设备维修保养服务</t>
  </si>
  <si>
    <t>山西黎霍高速公路有限公司古县北收费站、沁源服务区厨房设备采购项目采购代理服务合同</t>
  </si>
  <si>
    <t>古县北收费站、沁源服务区厨房设备采购</t>
  </si>
  <si>
    <t>山西黎霍高速公路有限公司“公路边坡智能化监测及稳定性评价技术研究”技术推广项目采购服务合同</t>
  </si>
  <si>
    <t>公路边坡智能化监测及稳定性评价技术研究技术推广项目采购</t>
  </si>
  <si>
    <t>青兰国家高速公路长治至延安联络线（G2211）山西境黎城至霍州段“混凝土防撞护栏除冰盐冻害性能退化机理与防治措施研究”科研项目采购代理服务合同</t>
  </si>
  <si>
    <t>“混凝土防撞护栏除冰盐冻害性能退化机理与防治措施研究”科研项目采购</t>
  </si>
  <si>
    <t>青兰国家高速公路长治至延安联络线（G2211）山西境黎城至霍州段特殊边坡微生态系统植被修复工程采购代理服务合同</t>
  </si>
  <si>
    <t>特殊边坡微生态系统植被修复工程采购</t>
  </si>
  <si>
    <t>山西路桥建设集团有限公司特许经营投资项目咨询服务框架协议书</t>
  </si>
  <si>
    <t>特许经营投资项目咨询服务</t>
  </si>
  <si>
    <t>编制《投资可行性研究报告》及《投资风险防控报告》</t>
  </si>
  <si>
    <t>山西省公路局2024年普通国省道修复性养护工程勘察设计招标代理服务合同协议书</t>
  </si>
  <si>
    <t>勘察设计招标、最高限价编制</t>
  </si>
  <si>
    <t>山西省公路局2024年普通国省道修复性养护工程勘察设计招标，项目的最高投标限价的编制</t>
  </si>
  <si>
    <t>12140000405706781W</t>
  </si>
  <si>
    <t>长春市国家综合货运枢纽补链强项目绩效评价咨询服务合同</t>
  </si>
  <si>
    <t>吉林省运输管理公司</t>
  </si>
  <si>
    <t>绩效评价咨询</t>
  </si>
  <si>
    <t>长春市国家综合货运枢纽补链强项目绩效评价</t>
  </si>
  <si>
    <t>12220000412753789L</t>
  </si>
  <si>
    <t>国道三莫公路长汀至双峰（雪乡）段水毁修复工程招标代理服务合同</t>
  </si>
  <si>
    <t>勘察设计、施工、监理及第三方咨询服务采购招标</t>
  </si>
  <si>
    <t>本项目勘察设计、施工、监理及第三方咨询服务采购招标
国道丹阿公路吉黑省界（珲春）至东宁段改扩建工程及国道三莫公路雪乡至亚布力段公路建设项目水毁修复工程的有关招标采购代理（如有）。</t>
  </si>
  <si>
    <t>国道三莫公路长汀至双峰（雪乡）段水毁修复工程招标代理服务合同补充协议</t>
  </si>
  <si>
    <t>12230000414002719X</t>
  </si>
  <si>
    <t>贵州省公路开发集团有限公司2025-2026年招标代理机构备选库入围协议书</t>
  </si>
  <si>
    <t>贵州省公路开发集团有限公司</t>
  </si>
  <si>
    <t>李楠</t>
  </si>
  <si>
    <t>91520000214420449F</t>
  </si>
  <si>
    <t>阳城至永济高速公路特许经营方案编制和审查技术咨询第一标包技术咨询合同</t>
  </si>
  <si>
    <t>特许经营方案编制和审查技术咨询</t>
  </si>
  <si>
    <t>负责特许经营实施方案的制度（包括但不限于1项目概述、2项目可行性分析、3特许经营模式可行性论证、4特许经营主要内容5、结论和建议等）、负责起草特许经营协议（包括初步协议）；协助采购人完成方案预审、审查、审批工作及相应修改，并按合同要求协助采购人获得主管部门的批文；起草特许经营项目市场测试文件，协助采购人开展市场测试工作；协助采购人完成全国投资项目在线审批监管平台项目信息入库、信息披露等；协助编制特许经营招标文件、协助采购人与特许经营者展开合同谈判、待项目公司成立后，协助采购人与项目公司签订特许经营协议。</t>
  </si>
  <si>
    <t>国道丹阿公路(G331）萝嘉界至嘉荫段等主线、景区连接线及经营类交旅设施项目总承包及PPP咨询等服务ZX标段咨询服务合同之补充合同（醉美331二期（一批））交旅设计（承继762）</t>
  </si>
  <si>
    <t>甲方：黑龙江省公路建设中心
乙方：北京中交建设工程咨询有限公司
丙方：黑龙江丹阿公路智慧交旅三批投资发展有限公司</t>
  </si>
  <si>
    <t>PPP咨询费、PPP最高投票限价编制费、PPP总投资和存量资产造价复核费转让。丙方负责本项目的投资、建设、运营管理、维护、移交。</t>
  </si>
  <si>
    <t>12230000414002719X/91230881MAC6FT7E4G</t>
  </si>
  <si>
    <t>房县至五峰高速公路房县段招标代理咨询服务委托合同</t>
  </si>
  <si>
    <t>湖北交投房神北高速公路有限公司</t>
  </si>
  <si>
    <t>造价咨询，土建、路面及附属施工、监理招标</t>
  </si>
  <si>
    <t>项目前期造价咨询、一期土建、二期路面及三期交安、机电、房建工程的勘察、设计、施工、监理以及与工程建设有关的重要设备、材料、工程咨询服务的招标代理咨询服务工作</t>
  </si>
  <si>
    <t>91420325MAD2M9T79G</t>
  </si>
  <si>
    <t>松桃至吉首（黔湘界）、兴义至西林（黔桂界）、仁怀至古蔺（黔川界）高速公路可行笥研究报告编制（含专题报件）、两阶段勘察设计及设计咨询（含地质勘察监理）和G8517屏山至兴义国高六盘水至兴义、G76厦蓉国家高速贵阳至黔西段、黔西至大方段扩容工程可行性研究报告编制（含专题报件）服务招标代理合同</t>
  </si>
  <si>
    <t>贵州交通投资集团有限公司</t>
  </si>
  <si>
    <t>可行性研究报告编制招标</t>
  </si>
  <si>
    <t>本项目工程可行笥研究报告编制（含专题报件）服务的招标代理工作</t>
  </si>
  <si>
    <t>91520000MAE4D46E0K</t>
  </si>
  <si>
    <t>新疆维吾尔自治区G3033 奎屯-独山子-库车高速公路建设项目(原名 G217线独山子至巩乃斯至库车公路建设项目)招标代理合同</t>
  </si>
  <si>
    <t>承担本工程的特需要经营方案编制单位、投资人、环评、水保、施工（如有）、监理（如有）及重要设备材料采购等招标代理服务。复核和审定工程量清单</t>
  </si>
  <si>
    <t>孟庆玥、王伟、杨文丁、李光</t>
  </si>
  <si>
    <t>新疆维吾尔自治区G30乌鲁木齐绕城高速(东线)第一合同段甘泉堡互通 N 匝道路面设计变更工程招标代理合同</t>
  </si>
  <si>
    <t>工程招标</t>
  </si>
  <si>
    <t>承担本项目工程施工招标，以及后续增加的其他招标、磋商、谈判等代理咨询服务。复核和审定工程量清单</t>
  </si>
  <si>
    <t>王伟、李光</t>
  </si>
  <si>
    <t>新疆维吾尔自治区G571 线拉配泉-巴什库尔干公路建设项目招标代理合同</t>
  </si>
  <si>
    <t>新疆维吾尔自治区G684塔吐鲁沟至麻扎段公路建设项目招标代理合同</t>
  </si>
  <si>
    <t>承担本工程的工程招标、服务招标、货物招标（如需要）等招标代理服务。复核和审定工程量清单</t>
  </si>
  <si>
    <t>张圣昊、李光</t>
  </si>
  <si>
    <t>G5513长益高速公路扩容工程项目特许经营方案编制咨询合同</t>
  </si>
  <si>
    <t>特许经营方案编制</t>
  </si>
  <si>
    <t>编制项目特许经营方案；协助开展特许经营方案报省发改委审核和取得审核意见工作</t>
  </si>
  <si>
    <t>李红</t>
  </si>
  <si>
    <t>G5513长益高速公路扩容工程项目特许经营者招标代理委托合同</t>
  </si>
  <si>
    <t>特许经营者招标</t>
  </si>
  <si>
    <t>特许经营者招标、《初步协议》和《特许经营协议》签订过程 的其他相关咨询服务</t>
  </si>
  <si>
    <t>许广高速茶亭互通至长沙绕城高速公路和浏阳至江背高速公路特许经营项目测算延长收费期技术支撑咨询合同</t>
  </si>
  <si>
    <t>甲方：湖南省交通运输厅规划与项目办公室
乙方：湖南省茶江高速公路建设开发有限公司
丙方：北京中交建设工程咨询有限公司</t>
  </si>
  <si>
    <t>特许经营项目测算延长收费期技术支撑咨询</t>
  </si>
  <si>
    <t>特许经营项目测算延长收费期技术支撑咨询工作，搭建财务数学模型，进行两项目延长收费期测算。</t>
  </si>
  <si>
    <t>G6025洞口至天柱（湘黔界）捆绑安化至溆浦高速公路项目特许经营方案编制咨询合同</t>
  </si>
  <si>
    <t>G9907浏阳沙市至宁乡（长沙北横高速）捆绑桂东（湘赣界）至新田高速公路湘赣界至桂东段项目特许经营方案编制咨询合同</t>
  </si>
  <si>
    <t>若羌县工业园区至塔什达坂矿山资源路建设项目特许经营方案编制及社会资本（特许经营）招标代理服务合同协议书</t>
  </si>
  <si>
    <t>若羌县交通运输局</t>
  </si>
  <si>
    <t>特许经营方案编制及社会资本（特许经营）招标</t>
  </si>
  <si>
    <t>特许经营方案的编制及相关咨询服务等工作，社会资本的招标代理工作及后期投资协议、特许经营协议的起草、谈判等工作</t>
  </si>
  <si>
    <t>李晓飞、杜晓雷、李光</t>
  </si>
  <si>
    <t>11652824MB0U94833T</t>
  </si>
  <si>
    <t>松花江下游重点浅滩航道建设工程施工及施工监理招标（采购）代理合同</t>
  </si>
  <si>
    <t>黑龙江省航道事务中心</t>
  </si>
  <si>
    <t>承担本项目施工招标和施工监理招标</t>
  </si>
  <si>
    <t>122300004241327603</t>
  </si>
  <si>
    <t>黑龙江省三江连通一期工程松北输水工程出水口、松南输水工程渠首航道稳定工程项目施工及施工监理招标代理合同（涉密，10年）</t>
  </si>
  <si>
    <t>G575线哈密至南湖段公路建设项目特许经营方案编制及特许经营者招标代理服务合同协议书</t>
  </si>
  <si>
    <t>哈密市交通运输事业综合服务中心</t>
  </si>
  <si>
    <t>特许经营方案编制及特许经营者招标</t>
  </si>
  <si>
    <t>特许经营方案的编制及其相关咨询服务等工作；特许经营者的招标代理工作及后期投资协议、特许经营协议的起草、谈判等工作</t>
  </si>
  <si>
    <t>12652200MB1P65407E</t>
  </si>
  <si>
    <t>G9907浏阳沙市至宁乡高速公路（长沙北横高速）项目特许经营方案编制咨询合同</t>
  </si>
  <si>
    <t>G5518晋城至潼关高速公路阳城至运城段等三个项目特许经营者招标代理及合同咨询服务机构合同</t>
  </si>
  <si>
    <t>特许经营者招标及合同咨询</t>
  </si>
  <si>
    <t>特许经营者招标代理及合同咨询服务机构项目</t>
  </si>
  <si>
    <t>省道215线（原省道205线）怀仁过境改线工程招标代理服务委托合同</t>
  </si>
  <si>
    <t>怀仁市交通运输局</t>
  </si>
  <si>
    <t>包括但不限于：全过程咨询（项目勘察设计、专项评估等）、工程可行性研究、项目勘察设计咨询、工程施工、施工监理、试验检测、跟踪审计服务、技术服务、重要设备材料以及本项目如采用其他建设模式等所有招标或采购代理业务</t>
  </si>
  <si>
    <t>11140624012550456B</t>
  </si>
  <si>
    <t>省道215线（原省道205线）怀仁过境改线工程招标代理服务承继合同（承继959）</t>
  </si>
  <si>
    <t>甲方：山西省公路局朔州分局
乙方：怀仁市交通运输局
丙方：北京中交建设工程咨询有限公司</t>
  </si>
  <si>
    <t>承继本项目所有招标或采购代理业务</t>
  </si>
  <si>
    <t>121400004067603683/11140624012550456B</t>
  </si>
  <si>
    <t>应县至繁峙高速公路工程实施机构招标代理服务委托合同</t>
  </si>
  <si>
    <t>施工监理、试验检测等招标</t>
  </si>
  <si>
    <t>承担由项目实施机构开展的本项目建设期内的相关招标和采购的代理服务，包括但不限于施工监理、试验检测等，为业主提供招标和采购的其他技术咨询服务</t>
  </si>
  <si>
    <t>G6023辰溪至凤凰高速公路项目特许经营方案编制咨询合同</t>
  </si>
  <si>
    <t>《巴音郭楞蒙古自治州塔什店-上库工业园等六个公路项目（B项目包）政府和社会资本合作（PPP）前期咨询及招标代理补充协议》有关事宜的三方协议</t>
  </si>
  <si>
    <t>甲方：巴音郭楞蒙古自治州交通运输局
乙方：新疆塔上公路投资发展有限责任公司
丙方：北京中交建设工程 咨询有限公司</t>
  </si>
  <si>
    <t>11652800010448474A/91652801MAEB1EUP18</t>
  </si>
  <si>
    <t>山西黎霍高速公路有限公司日常保洁、部分维护保养及应急工程采购代理服务合同</t>
  </si>
  <si>
    <t>服务采购</t>
  </si>
  <si>
    <t>日常保洁、部分维护保养及应急工程采购</t>
  </si>
  <si>
    <t>山西黎霍高速公路有限公司2025年度职工健康体检服务采购代理服务合同</t>
  </si>
  <si>
    <t>2025年度职工健康体检服务采购</t>
  </si>
  <si>
    <t>山西黎霍高速公路有限公司2025年度职工劳保用品采购项目采购代理服务合同</t>
  </si>
  <si>
    <t>2025年度职工劳保用品采购项目采购</t>
  </si>
  <si>
    <t>山西黎霍高速公路有限公司2025年度运营采购项目采购代理服务合同</t>
  </si>
  <si>
    <t>2025年度运营采购项目采购</t>
  </si>
  <si>
    <t>青兰国家高速公路长治至延安联络线（G2211）山西境黎城至霍州段工程结算审核服务采购代理服务合同</t>
  </si>
  <si>
    <t>工程结算审核服务采购</t>
  </si>
  <si>
    <t>G6512秀山至从江国家高速公路松桃（大兴）至万山段项目建设期及运营准备期全过程招标代理服务合同</t>
  </si>
  <si>
    <t>贵州交投赤万天高速公路有限公司松万分公司</t>
  </si>
  <si>
    <t>监理、监控、审计、材料等招标</t>
  </si>
  <si>
    <t>1、施工监理、中心试验室、桥梁试验检测、特殊边坡监控等招标。
2、特殊桥梁监控、特殊桥梁的健康监测、桥梁钢结构检测等。
3、桥梁工程、路基工程、路面工程、隧道工程、房建工程、交安工程、机电工程的竣（交）工试验检测；机电（含消防设施）工程竣（交）工试验检测。
4、隧道超前预报、保险、环保和水保监测及竣工验收；审计；公力采购；大型设备材料采购；运营期边坡及地质灾害监测监控，公车、办公用品等采购；服务区运营商、物业招标；其他与本项目相关的服务采购。
5、应甲方需求的其他竞争性磋商、竞争性谈判及询价等采购代理工作。</t>
  </si>
  <si>
    <t>李光、王伟、李楠、张圣昊</t>
  </si>
  <si>
    <t>91520602MAEBR6WBXG</t>
  </si>
  <si>
    <t>玉屏至天柱（贵州境）高速公路项目建设期及运营准备期全过程招标代理服务合同</t>
  </si>
  <si>
    <t>贵州交投赤万天高速公路有限公司玉天分公司</t>
  </si>
  <si>
    <r>
      <t>91520622MAEE754X2B</t>
    </r>
    <r>
      <rPr>
        <sz val="10"/>
        <rFont val="Times New Roman"/>
        <family val="1"/>
        <charset val="0"/>
      </rPr>
      <t>‌</t>
    </r>
  </si>
  <si>
    <t>G356都匀秀峰至石龙公路改造项目勘察设计及专项评估影响效果分析和估算服务采购合同</t>
  </si>
  <si>
    <t>贵州省交通规划勘察设计研究院股份有限公司</t>
  </si>
  <si>
    <t>项目影响效果分析和估算报告</t>
  </si>
  <si>
    <t>对项目进行经济影响分析，对项目造价进行估算，完成本项目勘察设计及专项评的影响效果分析和估算工作</t>
  </si>
  <si>
    <t>9152000067700001A</t>
  </si>
  <si>
    <t>山西路桥建设集团朔州公路项目管理有限公司应县至繁峙高速公路和PPP项目咨询服务合同协议书承继协议（承继803）</t>
  </si>
  <si>
    <t>甲方：朔州市交通运输局
乙方：北京中交建设工程咨询有限公司
丙方：山西路桥建设集团朔州公路项目管理有限公司</t>
  </si>
  <si>
    <t>11140600012465470B/
91140622MAE9GQW96T</t>
  </si>
  <si>
    <t>应县至繁峙高速公路和国道208线怀仁王家堡至山阴薛**段改扩建工程捆绑项目特许经营方案编制委托书</t>
  </si>
  <si>
    <t>捆绑实施编制特许经营方案</t>
  </si>
  <si>
    <t>省道S255(蒲县至光华段）、362（光华至襄汾段）升级发行工程《技术咨询合同》（特许经营项目方案审查技术咨询）承继协议（承继892）</t>
  </si>
  <si>
    <t>山西路桥建设集团蒲襄公路项目管理有限公司</t>
  </si>
  <si>
    <t>承继合同（特许经营方案审查技术咨询）</t>
  </si>
  <si>
    <t>91141000MAE0B1GP13</t>
  </si>
  <si>
    <t>房县至五峰高速公路兴山段招标代理咨询服务委托合同</t>
  </si>
  <si>
    <t>湖北交投神兴高速公路有限公司</t>
  </si>
  <si>
    <t>负责本项目勘察、设计、施工、监理以及与工程建设有关的重要设备、材料、工程咨询服务的招标代理咨询服务工作，以及前期造价咨询工作</t>
  </si>
  <si>
    <t>91420502MAD8YUBU0B</t>
  </si>
  <si>
    <t>松花江下游重点浅滩航道建设工程建设期招标（采购）代理合同</t>
  </si>
  <si>
    <t>承担本项目建设期内（项目开工至竣工验收期间，含缺陷责任期等）各项工作内容的招标（采购）代理服务</t>
  </si>
  <si>
    <t>国道黑大公路宝泉至明水段公路工程项目招标代理服务合同DL-2标段</t>
  </si>
  <si>
    <t>施工、监理、试验检测机构等招标</t>
  </si>
  <si>
    <t>本项目工程施工、施工监理、试验检测机构等的招标代理采购工作。</t>
  </si>
  <si>
    <t>黑龙江省交通基础设施建设投资有限公司2025年招标（采购）代理合同</t>
  </si>
  <si>
    <t>2025年招标采购代理</t>
  </si>
  <si>
    <t>法律顾问聘用合同-山东太史简（付2025）</t>
  </si>
  <si>
    <t>山东太史简律师事务所</t>
  </si>
  <si>
    <t>甲方因经营、管理及其他业务工作的需要，愿聘请乙方提供常年法律顾问服务；乙方愿接受聘请，为甲方提供法律顾问服务。</t>
  </si>
  <si>
    <t>31370000MD01711147</t>
  </si>
  <si>
    <t>黑河--布拉戈维申斯克黑龙江（阿穆尔河）大桥运营期桥梁定期检测项目招标代理合同</t>
  </si>
  <si>
    <t>黑龙江阿穆尔河大桥开发建设有限公司</t>
  </si>
  <si>
    <t>根据甲方招标（采购）工作的进展情况，负责甲方招标（采购）的代理工作</t>
  </si>
  <si>
    <t>91231100MA18X7GU2W</t>
  </si>
  <si>
    <t>古交-娄烦-方山高速公路PPP项目全过程咨询及招标代理服务合同主体变更协议</t>
  </si>
  <si>
    <t>山西路桥建设集团古交方高速公路有限公司</t>
  </si>
  <si>
    <t>主体变更</t>
  </si>
  <si>
    <t>太原市交通运输局将原合同权利和义务一并交付给山西路桥建设集团古交方高速公路有限公司</t>
  </si>
  <si>
    <t>91140123MAE86F281A</t>
  </si>
  <si>
    <t>山西省政府采购项目委托代理协议“公路工程试验检测服务”</t>
  </si>
  <si>
    <t>公路工程试验检测服务</t>
  </si>
  <si>
    <t>山西省公路交通基础设施数字化转型升级项目设计咨询服务和绩效评价服务委托代理协议</t>
  </si>
  <si>
    <t>山西省公路交通基础设施数字化转型升级项目设计咨询服务和绩效评价服务</t>
  </si>
  <si>
    <t>G3033奎屯-独山子-库车高速公路项目及G578线乔尔玛至G3033线乔尔玛互通项目招标代理服务合同</t>
  </si>
  <si>
    <t>新疆交投独库高速投资发展有限责任公司</t>
  </si>
  <si>
    <t>工程、货物、服务招标</t>
  </si>
  <si>
    <t>乙方承担项目的工程招标、货物招标和服务招标代理任务</t>
  </si>
  <si>
    <t>91650106MAEK4XXP7R</t>
  </si>
  <si>
    <t>江华至连山（湘粤界）高速公路项目特许经营方案编制咨询服务委托合同</t>
  </si>
  <si>
    <t>江华瑶族自治县交通运输局</t>
  </si>
  <si>
    <t>编制项目特许经营方案；协助开展特许经营方案报省交通厅和发改委审核并取得审核意见工作</t>
  </si>
  <si>
    <t xml:space="preserve">114311290066102565 </t>
  </si>
  <si>
    <t>江永至桂林（湘粤界）高速公路特许经营方案编制咨询服务委托合同</t>
  </si>
  <si>
    <t>江永县交通运输局</t>
  </si>
  <si>
    <t>11431125006606468H</t>
  </si>
  <si>
    <t>G0513平遥至洛阳高速公路安泽至沁水段项目招标代理协议书</t>
  </si>
  <si>
    <t>工可、全过程、特许经营者、其他等招标</t>
  </si>
  <si>
    <t>1、项目可行性研究报告编制；2、可行性研究报告评估审查咨询；3、项目前期全过程工资咨询服务（招标代理内容包括但不限于A全过程项目咨询统筹协调管理B建设项目专项评估咨询C项目初步勘察设计等；4特许经营项目特许经营者招标代理；5委托人委托的关于本项目的其他招标代理工作</t>
  </si>
  <si>
    <t xml:space="preserve">1114000001215025X5 </t>
  </si>
  <si>
    <t>国道208高平泽州界至黄头瓶颈路段升级发行工程招标代理服务合同</t>
  </si>
  <si>
    <t>工可、全过程、施工、监理、货物、服务等招标
工程量清单、限价编制</t>
  </si>
  <si>
    <t>1、全过程咨询（项目勘察设计、专项评估等）、工程可行性研究、项目勘察设计咨询、工程施工、施工监理、试验检测、跟踪审计服务、技术服务、重要设备材料以及本项目其他建设模式等所有招标或采购代理业务。2、承担业主委托的其他项目招标和采购代理工作。3、承担招标和采购项目的工程量清单、最高限价编制工作。4、承担上述项目招标和采购的相关工作</t>
  </si>
  <si>
    <t>新疆交通投资（集团）有限责任公司2026~2028年度招标代理服务入围合同（暨2026年度招标代理服务合同）仅有一份</t>
  </si>
  <si>
    <t>实施2026年度工程、货物和服务的招标代理工作</t>
  </si>
  <si>
    <t>房县至五峰高速公路长阳至五峰段招标代理咨询服务</t>
  </si>
  <si>
    <t>湖北交投长五高速公路有限公司</t>
  </si>
  <si>
    <t>勘察设计、工程、货物、服务招标</t>
  </si>
  <si>
    <t xml:space="preserve"> 91420502MADB1QE14F</t>
  </si>
  <si>
    <t>G6023浏阳（湘赣界）至株洲高速公路项目特许经营者招标代理委托合同</t>
  </si>
  <si>
    <t>新疆G575线哈密至南湖公路建设项目特许经营方案编制及特许经营者招标代理服务合同三方协议（承继956）</t>
  </si>
  <si>
    <t>甲方：新疆维吾尔自治区交通建设事务中心
乙方：北京中交建设工程咨询有限公司
丙方：哈密市交通运输事业综合服务中心</t>
  </si>
  <si>
    <t>甲方：1265000MB1U87299P
丙方：12652200MB1P65407E</t>
  </si>
  <si>
    <t>青兰国家高速公路长治至延安联络线（G2211）山西境黎城至霍州段土地资产评估服务采购代理服务合同</t>
  </si>
  <si>
    <t>山西省黎霍高速公路有限公司</t>
  </si>
  <si>
    <t>本项目土地资产评估服务采购项目</t>
  </si>
  <si>
    <t>巴东至张家界高速沪蓉沪渝连接段（含巴东长江二桥）BZXLQYJ-1标段三峡库区复杂地质条件超高塔千米级斜拉桥关键建造技术研究服务造价咨询合同</t>
  </si>
  <si>
    <t>限价编制</t>
  </si>
  <si>
    <t>工程量清单及招标控制价的编制工作</t>
  </si>
  <si>
    <t xml:space="preserve">  2025-9-15</t>
  </si>
  <si>
    <t>巴东至张家界高速沪蓉沪渝连接段（含巴东长江二桥）隧道工程初期支护检测服务BZSDJC-1标段造价咨询合同</t>
  </si>
  <si>
    <t>巴东至张家界高速沪蓉沪渝连接段（含巴东长江二桥）深部岩溶水文地质和工程地质专题技术咨询服务造价咨询合同</t>
  </si>
  <si>
    <t>鄂州机场高速公路二期工程污水处理工程施工招标最高投标限价造价咨询合同</t>
  </si>
  <si>
    <t>鄂州机场高速公路二期工程加油站及相关配套设施施工招标最高投标限价造价咨询合同</t>
  </si>
  <si>
    <t>鄂州机场高速公路二期工程声屏障工程施工招标最高投标限价造价咨询合同</t>
  </si>
  <si>
    <t>鄂州机场高速公路二期工程交通安全设施工程施工招标最高投标限价造价咨询合同</t>
  </si>
  <si>
    <t>G690线特克斯--喀拉峻公路建设项目造价咨询合同</t>
  </si>
  <si>
    <t>G578线乔尔玛至G3033线乔尔玛互通建设项目造价咨询合同</t>
  </si>
  <si>
    <t>新疆2025年度第三批次路面改造工程施工造价咨询合同</t>
  </si>
  <si>
    <t>新疆2025年度第二批次路面改造工程施工造价咨询合同</t>
  </si>
  <si>
    <t>新疆某项目造价咨询合同</t>
  </si>
  <si>
    <t>黑龙江醉美331二期二批附属工程施工招标最高投标限价造价咨询合同</t>
  </si>
  <si>
    <t>新疆维吾尔自治区G314线喀什至塔什库尔干公路建设项目特许经营方案编制及社会资本（特许经营）招标代理服务咨询服务合同</t>
  </si>
  <si>
    <t>新疆维吾尔自治区交通建设事务中心</t>
  </si>
  <si>
    <t>特许经营方案编制、特许经营招标</t>
  </si>
  <si>
    <t>本项目特许经营方案编制服务及社会资本（特许经营）招标代理服务</t>
  </si>
  <si>
    <t>李光、张胜</t>
  </si>
  <si>
    <t>孙国喜、董亚会、刘殿臣、孟庆玮</t>
  </si>
  <si>
    <r>
      <t>12650000MB1U87299P</t>
    </r>
    <r>
      <rPr>
        <sz val="10"/>
        <color indexed="63"/>
        <rFont val="Arial"/>
        <family val="2"/>
        <charset val="0"/>
      </rPr>
      <t>‌</t>
    </r>
  </si>
  <si>
    <t>古交--娄烦--方山高速公路监理和试验检测单位招标项目招标代理委托协议</t>
  </si>
  <si>
    <t>山西路桥建设集团古娄方高速公路有限公司</t>
  </si>
  <si>
    <t>监理和试验检测招标、限价编制</t>
  </si>
  <si>
    <t>负责本项目监理和试验检测单位的招标及限价编制工作</t>
  </si>
  <si>
    <t xml:space="preserve">91140123MAE86F281A </t>
  </si>
  <si>
    <t>国道341（龙吞泉隧道）、省道254永和县城过境公路改线工程《技术咨询合同》（特许经营方案审查技术咨询）承继协议</t>
  </si>
  <si>
    <t>山西机械化建设集团永和公路建设开发有限责任公司</t>
  </si>
  <si>
    <t>91141032MAE8G5FP0X</t>
  </si>
  <si>
    <t>国道241线右玉境改扩建工程项目咨询服务合同书（含投资可行性研究、风险防控分析）</t>
  </si>
  <si>
    <t>投资可行性研究、风险防控分析</t>
  </si>
  <si>
    <t>对项目的可性、合理性、风险等进行评估，编制基于本项目的《投资可行性研究报告》、《风险防控报告》</t>
  </si>
  <si>
    <t>2026年第一批工程可行性研究报告审查技术咨询招标和采购代理协议书</t>
  </si>
  <si>
    <t>工可审查招标</t>
  </si>
  <si>
    <t>本次招标项目类型主要为普通国省道、扩容改造工程、停车区改扩建，具体包括：省道214线（原省道339线）云冈过境改线工程、省道321线娄烦县城过境改线工程、省道110线（原省道218线）嵩岚县城过境改线工程、国道342线阳城县城过境改线工程、国道239线繁峙县大保水库段改线工程、国道241线沁源县城过境改线工程、国道521线盐湖城区过境改线工程、省道256线（原省道233线）稷山县城过境改线工程、国道337线、209线岚县城区过境改线工程、省道214线新荣城区过境改线工程、国道209线乡宁县城过境改线工程、京大高速公路山西段扩容改造工程、G7京乌高速山西段新平堡停车区改扩建项目。 
山西省交通运输厅2026年第一批工程可行性研究报告审查技术咨询招标和采购代理。</t>
  </si>
  <si>
    <t>贵州交通投资集团有限公司招标代理机构库入库协议书</t>
  </si>
  <si>
    <t>乙方在协议有效期内，可接受甲方及甲方总部下属无法独立法人资格机构、所属具有独立法人资格且选择从甲方招标代理机构库抽取代理机构的子公司委托，向其提供招标代理服务，具体服务内容以采购人每次委托的项目需求为准，包括但不限于编制招标文件、组织评标、协助处理招标过程中的相关事宜等。</t>
  </si>
  <si>
    <t>在建地方铁路工程项目质量安全监督检查山西政府采购项目委托协议书</t>
  </si>
  <si>
    <t>在建地方铁路工程 项目质量安全监督检查机构招标</t>
  </si>
  <si>
    <t>‌1114000001215025X5‌</t>
  </si>
  <si>
    <t>山阴元营至朔城区高速公司(S5512）西影寺至朔城区段改线工程实施机构招标代理服务委托合同</t>
  </si>
  <si>
    <t>根据项目需要承担由项目实施机构开展的本项目建设期内的相关招标和采购的代理服务，包括（但不限于）：施工监理、第三方试验检测等</t>
  </si>
  <si>
    <t>王淑波、陈志宇</t>
  </si>
  <si>
    <t>G5518 晋城至潼关高速公路阳城至运城段招标代理及造价咨询技术服务合同协议书</t>
  </si>
  <si>
    <t>山西阳运高速公路有限公司</t>
  </si>
  <si>
    <t>招标代理、造价咨询</t>
  </si>
  <si>
    <t>一、招标代理：1.阳运高速建设、运营有关的工程、货物、服务等招标采购代理工作；2.大型项目整体招标方案策划；3.配合招标人评审、报送招标相关文件，协调相关方；4.编制工程量清单（如有）、招标限价；5.组织项目合同谈判，配合完成协议签订；6.开展全过程合同管理；7.针对潜在投标人能力不足的项目开展相关工作确保招标落地。
二、造价咨询：1.初步设计、施工图设计数量核对，估算、概算、预算（含附属专业）审查，配合交通运输厅估概预算审查及跟踪；2.编制项目0#台账、分标段预算、概算（或总体）工程量清单、分标段工程量清单，并配合录入计量软件系统；3.提供招标人要求的其他造价相关咨询服务并出具成果。</t>
  </si>
  <si>
    <t>91140898MAK70YTH6E</t>
  </si>
  <si>
    <t>山西黎霍高速公路有限公司2026年度运营采购项目采购代理服务合同</t>
  </si>
  <si>
    <t>2026年度运营项目采购招标</t>
  </si>
  <si>
    <t>青兰国家高速公路长治至延安联络线（G2211）山西境黎城至霍州段（霍州市段）线外工程用地手续办理服务项目采购代理服务合同</t>
  </si>
  <si>
    <t>（霍州市段）线外工程用地手续办理服务项目采购招标</t>
  </si>
  <si>
    <t>国道309线晋冀界至长治临汾界段改扩建工程《招标代理服务合同协议书》三方承继协议</t>
  </si>
  <si>
    <t>甲方：山西省公路局长治分局
乙方：长治青兰公司运营建设有限公司</t>
  </si>
  <si>
    <t>乙方承继甲方及相关单位的前期工作合同</t>
  </si>
  <si>
    <t>12140000406270879E/91140424MAG282WT8J</t>
  </si>
  <si>
    <t>国道黑大公路宝泉至永丰段工程项目造价咨询服务合同</t>
  </si>
  <si>
    <t>包括但不限于本项目的工程施工、施工监理、第三方试验检测等工作内容的最高投标限价的编制工作，协助委托人审查承包单上报的工程变更单价，并配合上级部门审核及配合竣工决算审计工作</t>
  </si>
  <si>
    <t>枣阳至潜江高速公路荆门北段第ZQ-3合同段施工承包合同预算编制委托合同</t>
  </si>
  <si>
    <t>甲方：湖北交投荆门北高速公路有限公司
丙方：中铁二十四局集团有限公司</t>
  </si>
  <si>
    <t>本项目各阶段施工承包合同预算和施工承包合同价格编制工作，并接受甲方及上级主管部门对编制成果的审查。负责各阶段施工承包合同文本拟定工作，包括对专用合同条款、技术规范中计量与支付条款的修编及咨询服务，接受甲方及上级主管部门对合同文本的审查。</t>
  </si>
  <si>
    <t>9142000034351672X7/913100001322024481</t>
  </si>
  <si>
    <t>东安至全州（湘桂界）高速公路项目特许经营方案编制咨询合同</t>
  </si>
  <si>
    <t>东安县交通运输局</t>
  </si>
  <si>
    <t>根据政府和社会资本合作新机制要求，按照《政府和社会资本合作项目特许经营方案编写大纲（2024年试行版）》编制项目特许经营方案；协助开展特许经营方案报省发改委审核和取得核审意见工作</t>
  </si>
  <si>
    <t xml:space="preserve">1143112200659409X8 </t>
  </si>
  <si>
    <t>认证服务合同书（管理体系）付</t>
  </si>
  <si>
    <t>企业认证</t>
  </si>
  <si>
    <t>质量管理体系认证、环境管理体系认证、职业健康安全管理体系认证</t>
  </si>
  <si>
    <t>91110105741575522M‌</t>
  </si>
  <si>
    <t>ISO认证咨询服务合同书（付）</t>
  </si>
  <si>
    <t>特伊国际认证（北京）有限公司</t>
  </si>
  <si>
    <t>91110112681962298C</t>
  </si>
  <si>
    <t>国道209线（凤凰山隧道）隰县过境改线工程特许经营方案审查技术咨询合同承继协议书（承继892）</t>
  </si>
  <si>
    <t>隰县汇通公路工程管理有限公司</t>
  </si>
  <si>
    <t>91141031MAE0CQUU5W</t>
  </si>
  <si>
    <t>G5518晋城至潼关高速公路芮城至潼关段工程项目前期及施工阶段招标代理合同协议书</t>
  </si>
  <si>
    <t>山西芮潼高速公路有限责任公司</t>
  </si>
  <si>
    <t>本项目前期及施工阶段的招标代理工作</t>
  </si>
  <si>
    <t>91140830MAKBM7QT5F‌</t>
  </si>
  <si>
    <t>国道342线陵川县城过境改线工程招标代理服务合同协议书</t>
  </si>
  <si>
    <t>本项目（财务主管部门批复为政府集中采购方式的或超出其代理资格范围的项目除外）全过程咨询（项目勘察设计、专项评估等）、工程可行性研究、项目勘察设计咨询、工程施工、施工监理、试验检测、跟踪审计服务、技术服务、重要设备材料以及本项目其他建设模式等所有招标或采购代理服务</t>
  </si>
  <si>
    <t>G6023浏阳（湘赣界）至株洲高速公路项目前期及建设期招标代理服务委托合同</t>
  </si>
  <si>
    <t>长沙大普高速公路经营管理有限公司</t>
  </si>
  <si>
    <t>前期及建设期招标代理服务，不限于公开招标、邀请招标、竞争性谈判、竞争性磋商、询价、询比采购、框架协议采购等</t>
  </si>
  <si>
    <t>91430181MAKWELE7T‌</t>
  </si>
  <si>
    <t>黑龙江省2026年通车高速公路项目通行费“一路一价”定价成本调查咨询服务招标代理合同</t>
  </si>
  <si>
    <t>本项目通告费“一路一价”定价成本调查咨询服务的全过程采购代理招标</t>
  </si>
  <si>
    <t>黑龙江省政府采购项目2026年度界河航道专项养护技术方案政府采购委托代理协议</t>
  </si>
  <si>
    <t>政府采购</t>
  </si>
  <si>
    <t>2026年度界河航道专项养护技术方案政府采购招标</t>
  </si>
  <si>
    <t>122300004241327603‌</t>
  </si>
  <si>
    <t>松花江江海联运通道新城至同江段航道建设工程招标代理合同</t>
  </si>
  <si>
    <t>本项目项目建议书及工程可性研究、勘察设计、施工监理、物理模型试验等全过程招标代理以及专项技术咨询、专项评估等全过程采购代理工作</t>
  </si>
  <si>
    <t>哈尔滨国家综合货运枢纽补链强链三年实施总体验收省级绩效评价政府采购服务类采购合同（仅有一份）</t>
  </si>
  <si>
    <t>黑龙江省交通运输厅</t>
  </si>
  <si>
    <t>哈尔滨国家综合货 运枢纽补链强链三 年实施期总体验收 省级绩效评价 | (一)协助省交通输厅对哈尔市送的哈尔滨长国家合货运纽补强链实施方 案验收绩效评价工作报告》 《验收绩效评价证明材料汇编》《哈尔滨长春国家综合货运枢纽 补链强链交通强国专项试点任务验收申请报告》等文件中哈尔国家综合货运枢纽补链强 三年实施期相关材料进行审核。 (二)依据2024年12月正式报备的《实施方案》,协助省交通运输厅组织开展哈尔滨国家 综合货运枢纽补链强链三年实施期总体验收省级绩效评价。 (三)协助省交通输厅组织召开哈尔滨国家合货运组补强三年期总体验收省 级绩效评价相关评审会议。 (四)协助省交通输厅开展与哈尔国家综合货运组补强三年期总体验省级 绩效评价有关的其他工作。 供应商响应文件内容不得低于本项目采购人的服务要求。 供应商应承诺将无条件配合完成省交通运输厅交排的与咨询服务相关的其他工作。 拟派本项目团队成员在中标后项目期间不得随意更换。</t>
  </si>
  <si>
    <t>11230000001697612W‌</t>
  </si>
  <si>
    <t>高速公路"一路一价"标准测算和方案制定咨询服务项目政府采购服务类采购合同（仅有一份）</t>
  </si>
  <si>
    <t>测算和方案定制咨询</t>
  </si>
  <si>
    <t>(一)现行收费政策评估。梳理我省现有收费公路收费标准体和差异化收费政策实施情况,评估现行定价制在实际运行中 的合理性与存在问题。(二)各省政策与标准调研。对各省收费公路标准、定价机制进行调研,分析其定价原则、定价方 法、定价区间等。(三)收费标准测算模型构建。根据交通量、收费标准、年收费天数、收费年限建立收费测算模型:根据 单公里运营成本、管理成本、大修成本、财务成本建立成本测算模型:建立收对于成本的覆盖率测算模型:建立PPP项目基 于合同条款的或有财政支出测算模型:形成定价机制试算模型。(四)"一路一价"定价机制研究。借鉴各省经验,结合我省 高速公路网络结构、交通流量特征、区域经济社会发展水平等因素,研究制定定价机制框架,包括定价原则、定价方法、定价 区间等。(五)典型路段试点方案编制。选取3-5条典型收费公路,运用所建模型进行收费标准测算,形成试点路段"一路 价"定价方案。</t>
  </si>
  <si>
    <t>湖南省新新、张官高速公路建设项目招标代理协议书（2026）</t>
  </si>
  <si>
    <t>常年法律顾问聘用合同（付）</t>
  </si>
  <si>
    <t>其他</t>
  </si>
  <si>
    <t>法律顾问</t>
  </si>
  <si>
    <t>省道321娄烦县城过境改线工程招标代理服务合同协议书</t>
  </si>
  <si>
    <t>全过程咨询（包括工程可行性研究、项目勘察设计、专项评估咨询等）、工程可行性研究咨询（如有）、项目勘察设计咨询、工程施工、施工监理、试验检测、重要设备材料以及本项目其他建设模式等所有招标或采购代理业务；承担招标和采购项目的工程量清单复核。承担上述项目招标和采购工作的相关服务。根据需要对委托人进行有关国家、省招投标、合同管理方面的法律、行政法规和规章等的培训工作。承担业主委托的其他项目招标和采购代理工作</t>
  </si>
  <si>
    <t>‌12140000405706925E</t>
  </si>
  <si>
    <t>京大高速公路（山西段）扩能改造工程招标代理及全过程造价咨询技术服务合同协议书</t>
  </si>
  <si>
    <t>山西悦达京大高速公路有限公司</t>
  </si>
  <si>
    <t>与项目有关的工程、货物、服务等招标采购代理工作；
全过程造价咨询服务（自项目决策阶段起至竣工结算）：1、决策阶段：包含但不限于项目建议书、可研报告、申请报告、资金申请报告等造价审查评估及审计；2、设计阶段：包括但不限于初步设计、施工图设计数量的核对，概算、预算的审查。以及设计、专项评估等服务最高投标限价编制；3、发承包阶段：包含但不限于与项目有关工程、货物、服务工程量清单及最高投标限价编制。施工承包合同及价格审计。施工过程中造价控制：施工计量支付审核、材料定价审核、工程变量审核、工程签证和工程索赔处理审核等；4、交竣工验收阶段：交工验收工程结算审计并出具工程结算审计报告、配合痉工验收及行业主管部门对项目竣工决算的审计认定工作。</t>
  </si>
  <si>
    <t>郭星、杨文丁、盖晓娜</t>
  </si>
  <si>
    <t>91140200770132755P</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</si>
</sst>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yyyy/mm"/>
    <numFmt numFmtId="181" formatCode="0.0000_);[Red]\(0.0000\)"/>
    <numFmt numFmtId="182" formatCode="0.000000_ "/>
  </numFmts>
  <fonts count="30">
    <font>
      <sz val="12"/>
      <name val="宋体"/>
      <charset val="134"/>
    </font>
    <font>
      <sz val="10"/>
      <name val="宋体"/>
      <charset val="134"/>
    </font>
    <font>
      <sz val="10"/>
      <color rgb="FFFF0000"/>
      <name val="宋体"/>
      <charset val="134"/>
    </font>
    <font>
      <sz val="10"/>
      <color indexed="10"/>
      <name val="宋体"/>
      <charset val="134"/>
    </font>
    <font>
      <sz val="10"/>
      <color theme="1"/>
      <name val="宋体"/>
      <charset val="134"/>
    </font>
    <font>
      <sz val="12"/>
      <name val="宋体"/>
      <charset val="134"/>
      <scheme val="minor"/>
    </font>
    <font>
      <sz val="10"/>
      <name val="宋体"/>
      <charset val="134"/>
      <scheme val="minor"/>
    </font>
    <font>
      <sz val="11"/>
      <color theme="1"/>
      <name val="宋体"/>
      <charset val="134"/>
      <scheme val="minor"/>
    </font>
    <font>
      <sz val="10"/>
      <color rgb="FFFFFF00"/>
      <name val="宋体"/>
      <charset val="134"/>
    </font>
    <font>
      <sz val="9"/>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0"/>
      <color indexed="63"/>
      <name val="Arial"/>
      <family val="2"/>
      <charset val="0"/>
    </font>
    <font>
      <sz val="10"/>
      <name val="Times New Roman"/>
      <family val="1"/>
      <charset val="0"/>
    </font>
  </fonts>
  <fills count="40">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indexed="13"/>
        <bgColor indexed="64"/>
      </patternFill>
    </fill>
    <fill>
      <patternFill patternType="solid">
        <fgColor rgb="FFFFFF00"/>
        <bgColor indexed="64"/>
      </patternFill>
    </fill>
    <fill>
      <patternFill patternType="solid">
        <fgColor indexed="42"/>
        <bgColor indexed="64"/>
      </patternFill>
    </fill>
    <fill>
      <patternFill patternType="solid">
        <fgColor theme="0"/>
        <bgColor indexed="64"/>
      </patternFill>
    </fill>
    <fill>
      <patternFill patternType="solid">
        <fgColor theme="8" tint="0.599993896298105"/>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4">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10" borderId="7"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7" fillId="0" borderId="0" applyNumberFormat="0" applyFill="0" applyBorder="0" applyAlignment="0" applyProtection="0">
      <alignment vertical="center"/>
    </xf>
    <xf numFmtId="0" fontId="18" fillId="11" borderId="11" applyNumberFormat="0" applyAlignment="0" applyProtection="0">
      <alignment vertical="center"/>
    </xf>
    <xf numFmtId="0" fontId="19" fillId="12" borderId="12" applyNumberFormat="0" applyAlignment="0" applyProtection="0">
      <alignment vertical="center"/>
    </xf>
    <xf numFmtId="0" fontId="20" fillId="12" borderId="11" applyNumberFormat="0" applyAlignment="0" applyProtection="0">
      <alignment vertical="center"/>
    </xf>
    <xf numFmtId="0" fontId="21" fillId="13" borderId="13" applyNumberFormat="0" applyAlignment="0" applyProtection="0">
      <alignment vertical="center"/>
    </xf>
    <xf numFmtId="0" fontId="22" fillId="0" borderId="14" applyNumberFormat="0" applyFill="0" applyAlignment="0" applyProtection="0">
      <alignment vertical="center"/>
    </xf>
    <xf numFmtId="0" fontId="23" fillId="0" borderId="15" applyNumberFormat="0" applyFill="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7" fillId="34" borderId="0" applyNumberFormat="0" applyBorder="0" applyAlignment="0" applyProtection="0">
      <alignment vertical="center"/>
    </xf>
    <xf numFmtId="0" fontId="7" fillId="8"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7" fillId="37" borderId="0" applyNumberFormat="0" applyBorder="0" applyAlignment="0" applyProtection="0">
      <alignment vertical="center"/>
    </xf>
    <xf numFmtId="0" fontId="7" fillId="38" borderId="0" applyNumberFormat="0" applyBorder="0" applyAlignment="0" applyProtection="0">
      <alignment vertical="center"/>
    </xf>
    <xf numFmtId="0" fontId="27" fillId="39" borderId="0" applyNumberFormat="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cellStyleXfs>
  <cellXfs count="116">
    <xf numFmtId="0" fontId="0" fillId="0" borderId="0" xfId="0">
      <alignment vertical="center"/>
    </xf>
    <xf numFmtId="0" fontId="1" fillId="0" borderId="1" xfId="0" applyFont="1" applyBorder="1" applyAlignment="1">
      <alignment vertical="center" wrapText="1"/>
    </xf>
    <xf numFmtId="0" fontId="1" fillId="0" borderId="0" xfId="0" applyFont="1" applyFill="1" applyAlignment="1">
      <alignment vertical="center" wrapText="1"/>
    </xf>
    <xf numFmtId="0" fontId="1" fillId="0" borderId="0" xfId="0" applyFont="1" applyBorder="1"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2" borderId="0" xfId="0" applyFont="1" applyFill="1" applyAlignment="1">
      <alignment horizontal="left" vertical="center" wrapText="1"/>
    </xf>
    <xf numFmtId="14" fontId="1" fillId="0" borderId="0" xfId="0" applyNumberFormat="1" applyFont="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49" fontId="1" fillId="5" borderId="0" xfId="0" applyNumberFormat="1" applyFont="1" applyFill="1" applyAlignment="1">
      <alignment vertical="center" wrapText="1"/>
    </xf>
    <xf numFmtId="0" fontId="1" fillId="0" borderId="2" xfId="0" applyFont="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14" fontId="1" fillId="0" borderId="1" xfId="0" applyNumberFormat="1"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0" borderId="1" xfId="0" applyFont="1" applyBorder="1" applyAlignment="1">
      <alignment horizontal="center" vertical="center" wrapText="1"/>
    </xf>
    <xf numFmtId="49" fontId="1" fillId="5" borderId="3" xfId="0" applyNumberFormat="1" applyFont="1" applyFill="1" applyBorder="1" applyAlignment="1">
      <alignment vertical="center" wrapText="1"/>
    </xf>
    <xf numFmtId="0" fontId="1" fillId="0" borderId="4" xfId="0" applyFont="1" applyBorder="1" applyAlignment="1">
      <alignment horizontal="center" vertical="center" wrapText="1"/>
    </xf>
    <xf numFmtId="0" fontId="1" fillId="0" borderId="1" xfId="0" applyFont="1" applyFill="1" applyBorder="1" applyAlignment="1">
      <alignment vertical="center" wrapText="1"/>
    </xf>
    <xf numFmtId="0" fontId="1" fillId="0" borderId="1" xfId="0" applyFont="1" applyBorder="1" applyAlignment="1">
      <alignment horizontal="left" vertical="center" wrapText="1"/>
    </xf>
    <xf numFmtId="0" fontId="1" fillId="2" borderId="1" xfId="0" applyFont="1" applyFill="1" applyBorder="1" applyAlignment="1">
      <alignment horizontal="left" vertical="center" wrapText="1"/>
    </xf>
    <xf numFmtId="14" fontId="1" fillId="0" borderId="1" xfId="0" applyNumberFormat="1"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14" fontId="1" fillId="0" borderId="1" xfId="0" applyNumberFormat="1" applyFont="1" applyBorder="1" applyAlignment="1">
      <alignmen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3" fillId="0" borderId="1" xfId="0" applyFont="1" applyBorder="1" applyAlignment="1">
      <alignment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3" fillId="4" borderId="1" xfId="0" applyFont="1" applyFill="1" applyBorder="1" applyAlignment="1">
      <alignment vertical="center" wrapText="1"/>
    </xf>
    <xf numFmtId="0" fontId="1" fillId="6" borderId="1" xfId="0" applyFont="1" applyFill="1" applyBorder="1" applyAlignment="1">
      <alignment vertical="center" wrapText="1"/>
    </xf>
    <xf numFmtId="0" fontId="1" fillId="0" borderId="4" xfId="0" applyFont="1" applyFill="1" applyBorder="1" applyAlignment="1">
      <alignment horizontal="center" vertical="center" wrapText="1"/>
    </xf>
    <xf numFmtId="180" fontId="1" fillId="0" borderId="1" xfId="0" applyNumberFormat="1" applyFont="1" applyBorder="1" applyAlignment="1">
      <alignment horizontal="left" vertical="center" wrapText="1"/>
    </xf>
    <xf numFmtId="180" fontId="1" fillId="2" borderId="1" xfId="0" applyNumberFormat="1" applyFont="1" applyFill="1" applyBorder="1" applyAlignment="1">
      <alignment horizontal="left" vertical="center" wrapText="1"/>
    </xf>
    <xf numFmtId="180" fontId="1" fillId="0" borderId="1" xfId="0" applyNumberFormat="1" applyFont="1" applyBorder="1" applyAlignment="1">
      <alignment vertical="center" wrapText="1"/>
    </xf>
    <xf numFmtId="180" fontId="1" fillId="3" borderId="1" xfId="0" applyNumberFormat="1" applyFont="1" applyFill="1" applyBorder="1" applyAlignment="1">
      <alignment vertical="center" wrapText="1"/>
    </xf>
    <xf numFmtId="180" fontId="1" fillId="0" borderId="1" xfId="0" applyNumberFormat="1" applyFont="1" applyFill="1" applyBorder="1" applyAlignment="1">
      <alignment horizontal="left" vertical="center" wrapText="1"/>
    </xf>
    <xf numFmtId="180" fontId="1" fillId="0" borderId="1" xfId="0" applyNumberFormat="1" applyFont="1" applyFill="1" applyBorder="1" applyAlignment="1">
      <alignment vertical="center" wrapText="1"/>
    </xf>
    <xf numFmtId="0" fontId="1" fillId="0" borderId="4" xfId="0" applyFont="1" applyBorder="1" applyAlignment="1">
      <alignment vertical="center" wrapText="1"/>
    </xf>
    <xf numFmtId="14" fontId="1" fillId="4" borderId="1" xfId="0" applyNumberFormat="1" applyFont="1" applyFill="1" applyBorder="1" applyAlignment="1">
      <alignment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0" fillId="0" borderId="1" xfId="0" applyBorder="1" applyAlignment="1">
      <alignment horizontal="left" vertical="center" wrapText="1"/>
    </xf>
    <xf numFmtId="0" fontId="0" fillId="2" borderId="1" xfId="0" applyFill="1" applyBorder="1" applyAlignment="1">
      <alignment horizontal="left" vertical="center" wrapText="1"/>
    </xf>
    <xf numFmtId="14" fontId="0" fillId="0" borderId="1" xfId="0" applyNumberFormat="1" applyBorder="1">
      <alignment vertical="center"/>
    </xf>
    <xf numFmtId="0" fontId="0" fillId="0" borderId="1" xfId="0" applyFill="1" applyBorder="1">
      <alignment vertical="center"/>
    </xf>
    <xf numFmtId="49" fontId="1" fillId="0" borderId="0" xfId="0" applyNumberFormat="1" applyFont="1" applyFill="1" applyAlignment="1">
      <alignment vertical="center" wrapText="1"/>
    </xf>
    <xf numFmtId="0" fontId="4" fillId="5" borderId="1" xfId="0" applyFont="1" applyFill="1" applyBorder="1" applyAlignment="1">
      <alignment horizontal="center" vertical="center"/>
    </xf>
    <xf numFmtId="0" fontId="0" fillId="0" borderId="1" xfId="0" applyBorder="1" applyAlignment="1">
      <alignment vertical="center" wrapText="1"/>
    </xf>
    <xf numFmtId="181" fontId="5" fillId="0" borderId="5" xfId="0" applyNumberFormat="1" applyFont="1" applyBorder="1" applyAlignment="1">
      <alignment horizontal="center" vertical="center" wrapText="1"/>
    </xf>
    <xf numFmtId="181" fontId="5"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49" fontId="1" fillId="5" borderId="0" xfId="0" applyNumberFormat="1" applyFont="1" applyFill="1" applyBorder="1" applyAlignment="1">
      <alignment vertical="center" wrapText="1"/>
    </xf>
    <xf numFmtId="0" fontId="5" fillId="7" borderId="1" xfId="69" applyFont="1" applyFill="1" applyBorder="1" applyAlignment="1">
      <alignment horizontal="center" vertical="center" wrapText="1"/>
    </xf>
    <xf numFmtId="14" fontId="1" fillId="5" borderId="1" xfId="0" applyNumberFormat="1" applyFont="1" applyFill="1" applyBorder="1" applyAlignment="1">
      <alignment horizontal="center" vertical="center" wrapText="1"/>
    </xf>
    <xf numFmtId="14" fontId="1" fillId="5" borderId="1" xfId="0" applyNumberFormat="1" applyFont="1" applyFill="1" applyBorder="1" applyAlignment="1">
      <alignment vertical="center" wrapText="1"/>
    </xf>
    <xf numFmtId="0" fontId="1" fillId="5" borderId="1" xfId="0" applyFont="1" applyFill="1" applyBorder="1" applyAlignment="1">
      <alignment horizontal="center" vertical="center" wrapText="1"/>
    </xf>
    <xf numFmtId="0" fontId="1" fillId="7" borderId="1" xfId="0" applyFont="1" applyFill="1" applyBorder="1" applyAlignment="1">
      <alignment vertical="center" wrapText="1"/>
    </xf>
    <xf numFmtId="0" fontId="1" fillId="2" borderId="0" xfId="0" applyFont="1" applyFill="1" applyAlignment="1">
      <alignment horizontal="right" vertical="center" wrapText="1"/>
    </xf>
    <xf numFmtId="49" fontId="1" fillId="5" borderId="1" xfId="0" applyNumberFormat="1" applyFont="1" applyFill="1" applyBorder="1" applyAlignment="1">
      <alignment vertical="center" wrapText="1"/>
    </xf>
    <xf numFmtId="0" fontId="0" fillId="7" borderId="1" xfId="0" applyFill="1" applyBorder="1" applyAlignment="1">
      <alignment vertical="center" wrapText="1"/>
    </xf>
    <xf numFmtId="0" fontId="4" fillId="0" borderId="1" xfId="0" applyFont="1" applyFill="1" applyBorder="1" applyAlignment="1">
      <alignment horizontal="center" vertical="center" wrapText="1"/>
    </xf>
    <xf numFmtId="14" fontId="0" fillId="7" borderId="1" xfId="0" applyNumberFormat="1" applyFill="1" applyBorder="1">
      <alignment vertical="center"/>
    </xf>
    <xf numFmtId="0" fontId="0" fillId="7" borderId="1" xfId="0" applyFill="1" applyBorder="1">
      <alignment vertical="center"/>
    </xf>
    <xf numFmtId="0" fontId="7" fillId="0" borderId="1" xfId="57" applyFill="1" applyBorder="1" applyAlignment="1">
      <alignment vertical="center" wrapText="1"/>
    </xf>
    <xf numFmtId="14" fontId="7" fillId="0" borderId="1" xfId="50" applyNumberFormat="1" applyFill="1" applyBorder="1">
      <alignment vertical="center"/>
    </xf>
    <xf numFmtId="182" fontId="7" fillId="0" borderId="1" xfId="51" applyNumberFormat="1" applyFill="1" applyBorder="1">
      <alignment vertical="center"/>
    </xf>
    <xf numFmtId="0" fontId="7" fillId="0" borderId="1" xfId="56" applyFill="1" applyBorder="1">
      <alignment vertical="center"/>
    </xf>
    <xf numFmtId="14" fontId="7" fillId="0" borderId="1" xfId="54" applyNumberFormat="1" applyFill="1" applyBorder="1">
      <alignment vertical="center"/>
    </xf>
    <xf numFmtId="0" fontId="7" fillId="0" borderId="1" xfId="53" applyFill="1" applyBorder="1">
      <alignment vertical="center"/>
    </xf>
    <xf numFmtId="0" fontId="7" fillId="8" borderId="1" xfId="55" applyFill="1" applyBorder="1">
      <alignment vertical="center"/>
    </xf>
    <xf numFmtId="0" fontId="7" fillId="0" borderId="1" xfId="55" applyFill="1" applyBorder="1">
      <alignment vertical="center"/>
    </xf>
    <xf numFmtId="49" fontId="1" fillId="0" borderId="1" xfId="0" applyNumberFormat="1" applyFont="1" applyFill="1" applyBorder="1" applyAlignment="1">
      <alignment vertical="center" wrapText="1"/>
    </xf>
    <xf numFmtId="0" fontId="5" fillId="7"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7" fillId="7" borderId="1" xfId="0" applyFont="1" applyFill="1" applyBorder="1" applyAlignment="1">
      <alignment vertical="center" wrapText="1"/>
    </xf>
    <xf numFmtId="0" fontId="7" fillId="5" borderId="1" xfId="0" applyFont="1" applyFill="1" applyBorder="1" applyAlignment="1">
      <alignment vertical="center" wrapText="1"/>
    </xf>
    <xf numFmtId="0" fontId="9" fillId="7" borderId="1" xfId="0" applyFont="1" applyFill="1" applyBorder="1" applyAlignment="1">
      <alignment horizontal="center" vertical="center" wrapText="1"/>
    </xf>
    <xf numFmtId="0" fontId="1" fillId="2" borderId="0"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0" borderId="1" xfId="0" applyFont="1" applyBorder="1" applyAlignment="1">
      <alignment vertical="center" wrapText="1"/>
    </xf>
    <xf numFmtId="0" fontId="1" fillId="9"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14" fontId="2" fillId="0" borderId="1" xfId="0" applyNumberFormat="1" applyFont="1" applyBorder="1" applyAlignment="1">
      <alignment vertical="center" wrapText="1"/>
    </xf>
    <xf numFmtId="0" fontId="2" fillId="3" borderId="1" xfId="0" applyFont="1" applyFill="1" applyBorder="1" applyAlignment="1">
      <alignment vertical="center" wrapText="1"/>
    </xf>
    <xf numFmtId="14" fontId="2" fillId="4" borderId="1" xfId="0" applyNumberFormat="1" applyFont="1" applyFill="1" applyBorder="1" applyAlignment="1">
      <alignment vertical="center" wrapText="1"/>
    </xf>
    <xf numFmtId="49" fontId="2" fillId="5" borderId="1" xfId="0" applyNumberFormat="1" applyFont="1" applyFill="1" applyBorder="1" applyAlignment="1">
      <alignment vertical="center" wrapText="1"/>
    </xf>
    <xf numFmtId="0" fontId="0" fillId="0" borderId="0" xfId="0" applyFill="1">
      <alignment vertical="center"/>
    </xf>
    <xf numFmtId="0" fontId="0" fillId="0" borderId="0" xfId="0" applyAlignment="1">
      <alignment vertical="center" wrapText="1"/>
    </xf>
    <xf numFmtId="0" fontId="0" fillId="0" borderId="1" xfId="0" applyFill="1" applyBorder="1" applyAlignment="1">
      <alignment vertical="center"/>
    </xf>
    <xf numFmtId="0" fontId="0" fillId="0" borderId="1" xfId="0" applyFill="1" applyBorder="1" applyAlignment="1">
      <alignment horizontal="center" vertical="center"/>
    </xf>
    <xf numFmtId="0" fontId="0" fillId="0" borderId="1" xfId="0" applyBorder="1">
      <alignment vertical="center"/>
    </xf>
    <xf numFmtId="0" fontId="0" fillId="0" borderId="1" xfId="0" applyFont="1" applyFill="1" applyBorder="1">
      <alignment vertical="center"/>
    </xf>
    <xf numFmtId="14" fontId="0" fillId="0" borderId="1" xfId="0" applyNumberFormat="1" applyFill="1" applyBorder="1">
      <alignment vertical="center"/>
    </xf>
    <xf numFmtId="0" fontId="0" fillId="0" borderId="1" xfId="0" applyFill="1" applyBorder="1" applyAlignment="1">
      <alignment vertical="center" wrapText="1"/>
    </xf>
    <xf numFmtId="14" fontId="0" fillId="0" borderId="1" xfId="0" applyNumberFormat="1" applyBorder="1" applyAlignment="1">
      <alignment vertical="center" wrapText="1"/>
    </xf>
    <xf numFmtId="0" fontId="0" fillId="4" borderId="1" xfId="0" applyFill="1" applyBorder="1" applyAlignment="1">
      <alignment vertical="center" wrapText="1"/>
    </xf>
    <xf numFmtId="0" fontId="0" fillId="4" borderId="1" xfId="0" applyFill="1" applyBorder="1">
      <alignment vertical="center"/>
    </xf>
    <xf numFmtId="0" fontId="0" fillId="0" borderId="0" xfId="0" applyFill="1" applyAlignment="1">
      <alignment vertical="center"/>
    </xf>
    <xf numFmtId="0" fontId="0" fillId="0" borderId="0" xfId="0" applyFont="1" applyFill="1">
      <alignment vertical="center"/>
    </xf>
    <xf numFmtId="14" fontId="0" fillId="0" borderId="1" xfId="0" applyNumberFormat="1" applyFont="1" applyFill="1" applyBorder="1">
      <alignment vertical="center"/>
    </xf>
    <xf numFmtId="14" fontId="0" fillId="0" borderId="0" xfId="0" applyNumberFormat="1" applyFill="1">
      <alignment vertical="center"/>
    </xf>
    <xf numFmtId="0" fontId="0" fillId="0" borderId="6" xfId="0" applyFill="1" applyBorder="1">
      <alignment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14" fontId="0" fillId="0" borderId="1" xfId="0" applyNumberFormat="1" applyBorder="1" applyAlignment="1">
      <alignment horizontal="left" vertical="center"/>
    </xf>
    <xf numFmtId="14" fontId="0" fillId="0" borderId="1" xfId="0" applyNumberFormat="1" applyFill="1" applyBorder="1" applyAlignment="1">
      <alignment horizontal="left" vertical="center"/>
    </xf>
  </cellXfs>
  <cellStyles count="7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1" xfId="50"/>
    <cellStyle name="常规 12" xfId="51"/>
    <cellStyle name="常规 13" xfId="52"/>
    <cellStyle name="常规 14" xfId="53"/>
    <cellStyle name="常规 15" xfId="54"/>
    <cellStyle name="常规 16" xfId="55"/>
    <cellStyle name="常规 17" xfId="56"/>
    <cellStyle name="常规 2" xfId="57"/>
    <cellStyle name="常规 2 10" xfId="58"/>
    <cellStyle name="常规 2 2" xfId="59"/>
    <cellStyle name="常规 2 3" xfId="60"/>
    <cellStyle name="常规 2 4" xfId="61"/>
    <cellStyle name="常规 2 5" xfId="62"/>
    <cellStyle name="常规 2 6" xfId="63"/>
    <cellStyle name="常规 2 7" xfId="64"/>
    <cellStyle name="常规 2 8" xfId="65"/>
    <cellStyle name="常规 2 9" xfId="66"/>
    <cellStyle name="常规 3" xfId="67"/>
    <cellStyle name="常规 4" xfId="68"/>
    <cellStyle name="常规 5" xfId="69"/>
    <cellStyle name="常规 6" xfId="70"/>
    <cellStyle name="常规 7" xfId="71"/>
    <cellStyle name="常规 8" xfId="72"/>
    <cellStyle name="常规 9" xfId="73"/>
  </cellStyles>
  <dxfs count="1">
    <dxf>
      <font>
        <b val="0"/>
        <i val="0"/>
        <strike val="0"/>
        <u val="none"/>
        <sz val="12"/>
        <color rgb="FF9C0006"/>
      </font>
      <fill>
        <patternFill patternType="solid">
          <bgColor rgb="FFFFC7CE"/>
        </patternFill>
      </fill>
    </dxf>
  </dxfs>
  <tableStyles count="0" defaultTableStyle="TableStyleMedium9" defaultPivotStyle="PivotStyleLight16"/>
  <colors>
    <mruColors>
      <color rgb="00333333"/>
      <color rgb="00B7DEE8"/>
      <color rgb="00FFFFFF"/>
      <color rgb="00CCFFCC"/>
      <color rgb="00FF0000"/>
      <color rgb="0092D050"/>
      <color rgb="0000B0F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2"/>
  <sheetViews>
    <sheetView view="pageBreakPreview" zoomScaleNormal="100" workbookViewId="0">
      <selection activeCell="D52" sqref="D52"/>
    </sheetView>
  </sheetViews>
  <sheetFormatPr defaultColWidth="8.8" defaultRowHeight="15" outlineLevelCol="5"/>
  <cols>
    <col min="1" max="1" width="9" style="110" customWidth="1"/>
    <col min="2" max="2" width="62.5" customWidth="1"/>
    <col min="3" max="3" width="12.7" style="111" customWidth="1"/>
    <col min="4" max="4" width="12.9" customWidth="1"/>
    <col min="5" max="5" width="11.5" customWidth="1"/>
    <col min="6" max="6" width="11.9" customWidth="1"/>
  </cols>
  <sheetData>
    <row r="1" spans="1:6">
      <c r="A1" s="112" t="s">
        <v>0</v>
      </c>
      <c r="B1" s="98" t="s">
        <v>1</v>
      </c>
      <c r="C1" s="113" t="s">
        <v>2</v>
      </c>
      <c r="D1" s="98" t="s">
        <v>3</v>
      </c>
      <c r="E1" s="98" t="s">
        <v>4</v>
      </c>
      <c r="F1" s="98" t="s">
        <v>5</v>
      </c>
    </row>
    <row r="2" spans="1:6">
      <c r="A2" s="112">
        <v>1</v>
      </c>
      <c r="B2" s="98" t="s">
        <v>6</v>
      </c>
      <c r="C2" s="114">
        <v>37003</v>
      </c>
      <c r="D2" s="98" t="s">
        <v>7</v>
      </c>
      <c r="E2" s="98"/>
      <c r="F2" s="98" t="s">
        <v>8</v>
      </c>
    </row>
    <row r="3" spans="1:6">
      <c r="A3" s="112">
        <v>2</v>
      </c>
      <c r="B3" s="98" t="s">
        <v>9</v>
      </c>
      <c r="C3" s="114">
        <v>37104</v>
      </c>
      <c r="D3" s="98" t="s">
        <v>10</v>
      </c>
      <c r="E3" s="98"/>
      <c r="F3" s="98" t="s">
        <v>11</v>
      </c>
    </row>
    <row r="4" spans="1:6">
      <c r="A4" s="112">
        <v>3</v>
      </c>
      <c r="B4" s="98" t="s">
        <v>12</v>
      </c>
      <c r="C4" s="114">
        <v>37039</v>
      </c>
      <c r="D4" s="98" t="s">
        <v>13</v>
      </c>
      <c r="E4" s="98"/>
      <c r="F4" s="98" t="s">
        <v>14</v>
      </c>
    </row>
    <row r="5" spans="1:6">
      <c r="A5" s="112">
        <v>4</v>
      </c>
      <c r="B5" s="98" t="s">
        <v>15</v>
      </c>
      <c r="C5" s="114">
        <v>37214</v>
      </c>
      <c r="D5" s="98" t="s">
        <v>13</v>
      </c>
      <c r="E5" s="98"/>
      <c r="F5" s="98" t="s">
        <v>14</v>
      </c>
    </row>
    <row r="6" spans="1:6">
      <c r="A6" s="112">
        <v>5</v>
      </c>
      <c r="B6" s="98" t="s">
        <v>16</v>
      </c>
      <c r="C6" s="114">
        <v>37152</v>
      </c>
      <c r="D6" s="98" t="s">
        <v>17</v>
      </c>
      <c r="E6" s="98"/>
      <c r="F6" s="98" t="s">
        <v>18</v>
      </c>
    </row>
    <row r="7" spans="1:6">
      <c r="A7" s="112">
        <v>6</v>
      </c>
      <c r="B7" s="98" t="s">
        <v>19</v>
      </c>
      <c r="C7" s="114">
        <v>37152</v>
      </c>
      <c r="D7" s="98" t="s">
        <v>20</v>
      </c>
      <c r="E7" s="98"/>
      <c r="F7" s="98" t="s">
        <v>21</v>
      </c>
    </row>
    <row r="8" spans="1:6">
      <c r="A8" s="112">
        <v>7</v>
      </c>
      <c r="B8" s="98" t="s">
        <v>22</v>
      </c>
      <c r="C8" s="114">
        <v>37274</v>
      </c>
      <c r="D8" s="98" t="s">
        <v>13</v>
      </c>
      <c r="E8" s="98"/>
      <c r="F8" s="98" t="s">
        <v>14</v>
      </c>
    </row>
    <row r="9" spans="1:6">
      <c r="A9" s="112">
        <v>8</v>
      </c>
      <c r="B9" s="98" t="s">
        <v>23</v>
      </c>
      <c r="C9" s="114">
        <v>37560</v>
      </c>
      <c r="D9" s="98" t="s">
        <v>24</v>
      </c>
      <c r="E9" s="98"/>
      <c r="F9" s="98" t="s">
        <v>25</v>
      </c>
    </row>
    <row r="10" spans="1:6">
      <c r="A10" s="112">
        <v>9</v>
      </c>
      <c r="B10" s="98" t="s">
        <v>26</v>
      </c>
      <c r="C10" s="114">
        <v>37554</v>
      </c>
      <c r="D10" s="98" t="s">
        <v>27</v>
      </c>
      <c r="E10" s="98"/>
      <c r="F10" s="98" t="s">
        <v>28</v>
      </c>
    </row>
    <row r="11" spans="1:6">
      <c r="A11" s="112">
        <v>10</v>
      </c>
      <c r="B11" s="98" t="s">
        <v>29</v>
      </c>
      <c r="C11" s="114">
        <v>37452</v>
      </c>
      <c r="D11" s="98" t="s">
        <v>30</v>
      </c>
      <c r="E11" s="98"/>
      <c r="F11" s="98" t="s">
        <v>31</v>
      </c>
    </row>
    <row r="12" s="94" customFormat="1" spans="1:6">
      <c r="A12" s="97">
        <v>11</v>
      </c>
      <c r="B12" s="51" t="s">
        <v>32</v>
      </c>
      <c r="C12" s="115">
        <v>37660</v>
      </c>
      <c r="D12" s="51" t="s">
        <v>33</v>
      </c>
      <c r="E12" s="51"/>
      <c r="F12" s="51" t="s">
        <v>34</v>
      </c>
    </row>
    <row r="13" spans="1:6">
      <c r="A13" s="112">
        <v>12</v>
      </c>
      <c r="B13" s="98" t="s">
        <v>35</v>
      </c>
      <c r="C13" s="114">
        <v>37512</v>
      </c>
      <c r="D13" s="98" t="s">
        <v>36</v>
      </c>
      <c r="E13" s="98"/>
      <c r="F13" s="98" t="s">
        <v>37</v>
      </c>
    </row>
    <row r="14" spans="1:6">
      <c r="A14" s="112">
        <v>13</v>
      </c>
      <c r="B14" s="98" t="s">
        <v>38</v>
      </c>
      <c r="C14" s="114">
        <v>37408</v>
      </c>
      <c r="D14" s="98"/>
      <c r="E14" s="98"/>
      <c r="F14" s="98" t="s">
        <v>28</v>
      </c>
    </row>
    <row r="15" spans="1:6">
      <c r="A15" s="112">
        <v>14</v>
      </c>
      <c r="B15" s="98" t="s">
        <v>39</v>
      </c>
      <c r="C15" s="114">
        <v>37408</v>
      </c>
      <c r="D15" s="98"/>
      <c r="E15" s="98"/>
      <c r="F15" s="98" t="s">
        <v>40</v>
      </c>
    </row>
    <row r="16" spans="1:6">
      <c r="A16" s="112">
        <v>15</v>
      </c>
      <c r="B16" s="98" t="s">
        <v>41</v>
      </c>
      <c r="C16" s="114">
        <v>37408</v>
      </c>
      <c r="D16" s="98"/>
      <c r="E16" s="98"/>
      <c r="F16" s="98" t="s">
        <v>42</v>
      </c>
    </row>
    <row r="17" spans="1:6">
      <c r="A17" s="112">
        <v>16</v>
      </c>
      <c r="B17" s="98" t="s">
        <v>43</v>
      </c>
      <c r="C17" s="114">
        <v>37408</v>
      </c>
      <c r="D17" s="98"/>
      <c r="E17" s="98"/>
      <c r="F17" s="98" t="s">
        <v>44</v>
      </c>
    </row>
    <row r="18" spans="1:6">
      <c r="A18" s="112">
        <v>17</v>
      </c>
      <c r="B18" s="98" t="s">
        <v>45</v>
      </c>
      <c r="C18" s="114">
        <v>37245</v>
      </c>
      <c r="D18" s="98" t="s">
        <v>46</v>
      </c>
      <c r="E18" s="98"/>
      <c r="F18" s="98" t="s">
        <v>47</v>
      </c>
    </row>
    <row r="19" spans="1:6">
      <c r="A19" s="112">
        <v>18</v>
      </c>
      <c r="B19" s="98" t="s">
        <v>48</v>
      </c>
      <c r="C19" s="114">
        <v>37872</v>
      </c>
      <c r="D19" s="98" t="s">
        <v>13</v>
      </c>
      <c r="E19" s="98"/>
      <c r="F19" s="98" t="s">
        <v>14</v>
      </c>
    </row>
    <row r="20" spans="1:6">
      <c r="A20" s="112">
        <v>19</v>
      </c>
      <c r="B20" s="98" t="s">
        <v>49</v>
      </c>
      <c r="C20" s="114">
        <v>37568</v>
      </c>
      <c r="D20" s="98" t="s">
        <v>50</v>
      </c>
      <c r="E20" s="98"/>
      <c r="F20" s="98" t="s">
        <v>51</v>
      </c>
    </row>
    <row r="21" spans="1:6">
      <c r="A21" s="112">
        <v>20</v>
      </c>
      <c r="B21" s="98" t="s">
        <v>52</v>
      </c>
      <c r="C21" s="113"/>
      <c r="D21" s="98" t="s">
        <v>53</v>
      </c>
      <c r="E21" s="98"/>
      <c r="F21" s="98" t="s">
        <v>54</v>
      </c>
    </row>
    <row r="22" spans="1:6">
      <c r="A22" s="112">
        <v>21</v>
      </c>
      <c r="B22" s="98" t="s">
        <v>55</v>
      </c>
      <c r="C22" s="114">
        <v>39278</v>
      </c>
      <c r="D22" s="98" t="s">
        <v>56</v>
      </c>
      <c r="E22" s="98"/>
      <c r="F22" s="98" t="s">
        <v>57</v>
      </c>
    </row>
    <row r="23" spans="1:6">
      <c r="A23" s="112">
        <v>22</v>
      </c>
      <c r="B23" s="98" t="s">
        <v>58</v>
      </c>
      <c r="C23" s="114">
        <v>37075</v>
      </c>
      <c r="D23" s="98" t="s">
        <v>59</v>
      </c>
      <c r="E23" s="98"/>
      <c r="F23" s="98" t="s">
        <v>60</v>
      </c>
    </row>
    <row r="24" spans="1:6">
      <c r="A24" s="112">
        <v>23</v>
      </c>
      <c r="B24" s="98" t="s">
        <v>61</v>
      </c>
      <c r="C24" s="114">
        <v>37763</v>
      </c>
      <c r="D24" s="98" t="s">
        <v>62</v>
      </c>
      <c r="E24" s="98"/>
      <c r="F24" s="98" t="s">
        <v>63</v>
      </c>
    </row>
    <row r="25" spans="1:6">
      <c r="A25" s="112">
        <v>24</v>
      </c>
      <c r="B25" s="98" t="s">
        <v>64</v>
      </c>
      <c r="C25" s="114">
        <v>37763</v>
      </c>
      <c r="D25" s="98" t="s">
        <v>65</v>
      </c>
      <c r="E25" s="98"/>
      <c r="F25" s="98" t="s">
        <v>66</v>
      </c>
    </row>
    <row r="26" spans="1:6">
      <c r="A26" s="112">
        <v>25</v>
      </c>
      <c r="B26" s="98" t="s">
        <v>67</v>
      </c>
      <c r="C26" s="114">
        <v>37763</v>
      </c>
      <c r="D26" s="98" t="s">
        <v>68</v>
      </c>
      <c r="E26" s="98"/>
      <c r="F26" s="98" t="s">
        <v>69</v>
      </c>
    </row>
    <row r="27" spans="1:6">
      <c r="A27" s="112">
        <v>26</v>
      </c>
      <c r="B27" s="98" t="s">
        <v>70</v>
      </c>
      <c r="C27" s="114">
        <v>37830</v>
      </c>
      <c r="D27" s="98" t="s">
        <v>71</v>
      </c>
      <c r="E27" s="98"/>
      <c r="F27" s="98" t="s">
        <v>72</v>
      </c>
    </row>
    <row r="28" spans="1:6">
      <c r="A28" s="112">
        <v>27</v>
      </c>
      <c r="B28" s="98" t="s">
        <v>73</v>
      </c>
      <c r="C28" s="114">
        <v>37741</v>
      </c>
      <c r="D28" s="98" t="s">
        <v>74</v>
      </c>
      <c r="E28" s="98"/>
      <c r="F28" s="98" t="s">
        <v>69</v>
      </c>
    </row>
    <row r="29" spans="1:6">
      <c r="A29" s="112">
        <v>28</v>
      </c>
      <c r="B29" s="98" t="s">
        <v>75</v>
      </c>
      <c r="C29" s="114">
        <v>37672</v>
      </c>
      <c r="D29" s="98" t="s">
        <v>76</v>
      </c>
      <c r="E29" s="98"/>
      <c r="F29" s="98" t="s">
        <v>77</v>
      </c>
    </row>
    <row r="30" spans="1:6">
      <c r="A30" s="112">
        <v>29</v>
      </c>
      <c r="B30" s="98" t="s">
        <v>78</v>
      </c>
      <c r="C30" s="114">
        <v>37907</v>
      </c>
      <c r="D30" s="98" t="s">
        <v>33</v>
      </c>
      <c r="E30" s="98"/>
      <c r="F30" s="98" t="s">
        <v>79</v>
      </c>
    </row>
    <row r="31" spans="1:6">
      <c r="A31" s="112" t="s">
        <v>0</v>
      </c>
      <c r="B31" s="98" t="s">
        <v>1</v>
      </c>
      <c r="C31" s="113" t="s">
        <v>2</v>
      </c>
      <c r="D31" s="98" t="s">
        <v>3</v>
      </c>
      <c r="E31" s="98" t="s">
        <v>4</v>
      </c>
      <c r="F31" s="98" t="s">
        <v>5</v>
      </c>
    </row>
    <row r="32" spans="1:6">
      <c r="A32" s="112">
        <v>30</v>
      </c>
      <c r="B32" s="98" t="s">
        <v>80</v>
      </c>
      <c r="C32" s="114">
        <v>37620</v>
      </c>
      <c r="D32" s="98" t="s">
        <v>56</v>
      </c>
      <c r="E32" s="98"/>
      <c r="F32" s="98" t="s">
        <v>57</v>
      </c>
    </row>
    <row r="33" spans="1:6">
      <c r="A33" s="112">
        <v>31</v>
      </c>
      <c r="B33" s="98" t="s">
        <v>81</v>
      </c>
      <c r="C33" s="114">
        <v>37719</v>
      </c>
      <c r="D33" s="98" t="s">
        <v>82</v>
      </c>
      <c r="E33" s="98"/>
      <c r="F33" s="98" t="s">
        <v>83</v>
      </c>
    </row>
    <row r="34" spans="1:6">
      <c r="A34" s="112">
        <v>32</v>
      </c>
      <c r="B34" s="98" t="s">
        <v>84</v>
      </c>
      <c r="C34" s="114">
        <v>37909</v>
      </c>
      <c r="D34" s="98"/>
      <c r="E34" s="98"/>
      <c r="F34" s="98" t="s">
        <v>85</v>
      </c>
    </row>
    <row r="35" spans="1:6">
      <c r="A35" s="112">
        <v>33</v>
      </c>
      <c r="B35" s="98" t="s">
        <v>86</v>
      </c>
      <c r="C35" s="114">
        <v>37865</v>
      </c>
      <c r="D35" s="98"/>
      <c r="E35" s="98"/>
      <c r="F35" s="98" t="s">
        <v>87</v>
      </c>
    </row>
    <row r="36" spans="1:6">
      <c r="A36" s="112">
        <v>34</v>
      </c>
      <c r="B36" s="98" t="s">
        <v>88</v>
      </c>
      <c r="C36" s="114">
        <v>38085</v>
      </c>
      <c r="D36" s="98" t="s">
        <v>89</v>
      </c>
      <c r="E36" s="98"/>
      <c r="F36" s="98" t="s">
        <v>90</v>
      </c>
    </row>
    <row r="37" spans="1:6">
      <c r="A37" s="112">
        <v>35</v>
      </c>
      <c r="B37" s="98" t="s">
        <v>91</v>
      </c>
      <c r="C37" s="114">
        <v>38085</v>
      </c>
      <c r="D37" s="98" t="s">
        <v>92</v>
      </c>
      <c r="E37" s="98"/>
      <c r="F37" s="98" t="s">
        <v>93</v>
      </c>
    </row>
    <row r="38" spans="1:6">
      <c r="A38" s="112">
        <v>36</v>
      </c>
      <c r="B38" s="98" t="s">
        <v>94</v>
      </c>
      <c r="C38" s="114">
        <v>38085</v>
      </c>
      <c r="D38" s="98" t="s">
        <v>95</v>
      </c>
      <c r="E38" s="98"/>
      <c r="F38" s="98" t="s">
        <v>96</v>
      </c>
    </row>
    <row r="39" spans="1:6">
      <c r="A39" s="112">
        <v>37</v>
      </c>
      <c r="B39" s="98" t="s">
        <v>97</v>
      </c>
      <c r="C39" s="114">
        <v>38085</v>
      </c>
      <c r="D39" s="98" t="s">
        <v>98</v>
      </c>
      <c r="E39" s="98"/>
      <c r="F39" s="98" t="s">
        <v>99</v>
      </c>
    </row>
    <row r="40" spans="1:6">
      <c r="A40" s="112">
        <v>38</v>
      </c>
      <c r="B40" s="98" t="s">
        <v>100</v>
      </c>
      <c r="C40" s="114">
        <v>37956</v>
      </c>
      <c r="D40" s="98" t="s">
        <v>101</v>
      </c>
      <c r="E40" s="98"/>
      <c r="F40" s="98" t="s">
        <v>102</v>
      </c>
    </row>
    <row r="41" spans="1:6">
      <c r="A41" s="112">
        <v>39</v>
      </c>
      <c r="B41" s="98" t="s">
        <v>103</v>
      </c>
      <c r="C41" s="114">
        <v>37849</v>
      </c>
      <c r="D41" s="98" t="s">
        <v>104</v>
      </c>
      <c r="E41" s="98"/>
      <c r="F41" s="98" t="s">
        <v>105</v>
      </c>
    </row>
    <row r="42" spans="1:6">
      <c r="A42" s="112">
        <v>40</v>
      </c>
      <c r="B42" s="98" t="s">
        <v>106</v>
      </c>
      <c r="C42" s="114">
        <v>38007</v>
      </c>
      <c r="D42" s="98" t="s">
        <v>107</v>
      </c>
      <c r="E42" s="98"/>
      <c r="F42" s="98" t="s">
        <v>108</v>
      </c>
    </row>
    <row r="43" spans="1:6">
      <c r="A43" s="112">
        <v>41</v>
      </c>
      <c r="B43" s="98" t="s">
        <v>109</v>
      </c>
      <c r="C43" s="114">
        <v>37780</v>
      </c>
      <c r="D43" s="98" t="s">
        <v>110</v>
      </c>
      <c r="E43" s="98"/>
      <c r="F43" s="98" t="s">
        <v>111</v>
      </c>
    </row>
    <row r="44" spans="1:6">
      <c r="A44" s="112">
        <v>42</v>
      </c>
      <c r="B44" s="98" t="s">
        <v>112</v>
      </c>
      <c r="C44" s="114">
        <v>37790</v>
      </c>
      <c r="D44" s="98" t="s">
        <v>104</v>
      </c>
      <c r="E44" s="98"/>
      <c r="F44" s="98" t="s">
        <v>105</v>
      </c>
    </row>
    <row r="45" spans="1:6">
      <c r="A45" s="112">
        <v>43</v>
      </c>
      <c r="B45" s="98" t="s">
        <v>113</v>
      </c>
      <c r="C45" s="114">
        <v>37961</v>
      </c>
      <c r="D45" s="98" t="s">
        <v>114</v>
      </c>
      <c r="E45" s="98"/>
      <c r="F45" s="98" t="s">
        <v>115</v>
      </c>
    </row>
    <row r="46" spans="1:6">
      <c r="A46" s="112">
        <v>44</v>
      </c>
      <c r="B46" s="98" t="s">
        <v>116</v>
      </c>
      <c r="C46" s="114">
        <v>37961</v>
      </c>
      <c r="D46" s="98" t="s">
        <v>50</v>
      </c>
      <c r="E46" s="98"/>
      <c r="F46" s="98" t="s">
        <v>51</v>
      </c>
    </row>
    <row r="47" spans="1:6">
      <c r="A47" s="112">
        <v>45</v>
      </c>
      <c r="B47" s="98" t="s">
        <v>117</v>
      </c>
      <c r="C47" s="114">
        <v>38169</v>
      </c>
      <c r="D47" s="98" t="s">
        <v>118</v>
      </c>
      <c r="E47" s="98"/>
      <c r="F47" s="98" t="s">
        <v>72</v>
      </c>
    </row>
    <row r="48" spans="1:6">
      <c r="A48" s="112">
        <v>46</v>
      </c>
      <c r="B48" s="98" t="s">
        <v>119</v>
      </c>
      <c r="C48" s="114">
        <v>37826</v>
      </c>
      <c r="D48" s="98" t="s">
        <v>120</v>
      </c>
      <c r="E48" s="98"/>
      <c r="F48" s="98" t="s">
        <v>121</v>
      </c>
    </row>
    <row r="49" spans="1:6">
      <c r="A49" s="112">
        <v>47</v>
      </c>
      <c r="B49" s="98" t="s">
        <v>122</v>
      </c>
      <c r="C49" s="114">
        <v>38083</v>
      </c>
      <c r="D49" s="98" t="s">
        <v>123</v>
      </c>
      <c r="E49" s="98"/>
      <c r="F49" s="98" t="s">
        <v>124</v>
      </c>
    </row>
    <row r="50" spans="1:6">
      <c r="A50" s="112">
        <v>48</v>
      </c>
      <c r="B50" s="98" t="s">
        <v>125</v>
      </c>
      <c r="C50" s="114">
        <v>38344</v>
      </c>
      <c r="D50" s="98" t="s">
        <v>33</v>
      </c>
      <c r="E50" s="98"/>
      <c r="F50" s="98" t="s">
        <v>79</v>
      </c>
    </row>
    <row r="51" spans="1:6">
      <c r="A51" s="112">
        <v>49</v>
      </c>
      <c r="B51" s="98" t="s">
        <v>126</v>
      </c>
      <c r="C51" s="114">
        <v>38373</v>
      </c>
      <c r="D51" s="98" t="s">
        <v>127</v>
      </c>
      <c r="E51" s="98"/>
      <c r="F51" s="98" t="s">
        <v>128</v>
      </c>
    </row>
    <row r="52" spans="1:6">
      <c r="A52" s="112">
        <v>50</v>
      </c>
      <c r="B52" s="98" t="s">
        <v>129</v>
      </c>
      <c r="C52" s="114">
        <v>38208</v>
      </c>
      <c r="D52" s="98"/>
      <c r="E52" s="98"/>
      <c r="F52" s="98"/>
    </row>
  </sheetData>
  <autoFilter xmlns:etc="http://www.wps.cn/officeDocument/2017/etCustomData" ref="A1:F52" etc:filterBottomFollowUsedRange="0">
    <extLst/>
  </autoFilter>
  <pageMargins left="0.75" right="0.75" top="1" bottom="1" header="0.5" footer="0.5"/>
  <pageSetup paperSize="9" orientation="landscape" horizontalDpi="600" verticalDpi="6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0"/>
  <sheetViews>
    <sheetView view="pageBreakPreview" zoomScaleNormal="100" workbookViewId="0">
      <selection activeCell="B13" sqref="B13"/>
    </sheetView>
  </sheetViews>
  <sheetFormatPr defaultColWidth="9" defaultRowHeight="15" outlineLevelCol="5"/>
  <cols>
    <col min="1" max="1" width="5.4" style="94" customWidth="1"/>
    <col min="2" max="2" width="69.5" style="94" customWidth="1"/>
    <col min="3" max="3" width="13" style="94"/>
    <col min="4" max="4" width="11.2" style="94" customWidth="1"/>
    <col min="5" max="5" width="11.4" style="94" customWidth="1"/>
    <col min="6" max="16384" width="9" style="94"/>
  </cols>
  <sheetData>
    <row r="1" s="105" customFormat="1" spans="1:6">
      <c r="A1" s="96" t="s">
        <v>0</v>
      </c>
      <c r="B1" s="97" t="s">
        <v>1</v>
      </c>
      <c r="C1" s="97" t="s">
        <v>2</v>
      </c>
      <c r="D1" s="96" t="s">
        <v>3</v>
      </c>
      <c r="E1" s="96" t="s">
        <v>4</v>
      </c>
      <c r="F1" s="96" t="s">
        <v>5</v>
      </c>
    </row>
    <row r="2" spans="1:6">
      <c r="A2" s="51">
        <v>1</v>
      </c>
      <c r="B2" s="99" t="s">
        <v>130</v>
      </c>
      <c r="C2" s="100">
        <v>37712</v>
      </c>
      <c r="D2" s="51"/>
      <c r="E2" s="51"/>
      <c r="F2" s="51" t="s">
        <v>18</v>
      </c>
    </row>
    <row r="3" spans="1:6">
      <c r="A3" s="51">
        <v>2</v>
      </c>
      <c r="B3" s="99" t="s">
        <v>131</v>
      </c>
      <c r="C3" s="100">
        <v>37855</v>
      </c>
      <c r="D3" s="51"/>
      <c r="E3" s="51"/>
      <c r="F3" s="51" t="s">
        <v>18</v>
      </c>
    </row>
    <row r="4" spans="1:6">
      <c r="A4" s="51">
        <v>3</v>
      </c>
      <c r="B4" s="99" t="s">
        <v>132</v>
      </c>
      <c r="C4" s="100">
        <v>37616</v>
      </c>
      <c r="D4" s="51"/>
      <c r="E4" s="51"/>
      <c r="F4" s="51" t="s">
        <v>18</v>
      </c>
    </row>
    <row r="5" spans="1:6">
      <c r="A5" s="51">
        <v>4</v>
      </c>
      <c r="B5" s="99" t="s">
        <v>133</v>
      </c>
      <c r="C5" s="100">
        <v>38145</v>
      </c>
      <c r="D5" s="51"/>
      <c r="E5" s="51"/>
      <c r="F5" s="51"/>
    </row>
    <row r="6" s="106" customFormat="1" spans="1:6">
      <c r="A6" s="51">
        <v>5</v>
      </c>
      <c r="B6" s="99" t="s">
        <v>134</v>
      </c>
      <c r="C6" s="107">
        <v>38334</v>
      </c>
      <c r="D6" s="99"/>
      <c r="E6" s="99"/>
      <c r="F6" s="99" t="s">
        <v>18</v>
      </c>
    </row>
    <row r="7" spans="1:6">
      <c r="A7" s="51">
        <v>6</v>
      </c>
      <c r="B7" s="99" t="s">
        <v>135</v>
      </c>
      <c r="C7" s="100">
        <v>37890</v>
      </c>
      <c r="D7" s="51"/>
      <c r="E7" s="51"/>
      <c r="F7" s="51" t="s">
        <v>18</v>
      </c>
    </row>
    <row r="8" spans="1:6">
      <c r="A8" s="51">
        <v>7</v>
      </c>
      <c r="B8" s="99" t="s">
        <v>136</v>
      </c>
      <c r="C8" s="100">
        <v>38344</v>
      </c>
      <c r="D8" s="51"/>
      <c r="E8" s="51"/>
      <c r="F8" s="51"/>
    </row>
    <row r="9" spans="1:6">
      <c r="A9" s="51">
        <v>8</v>
      </c>
      <c r="B9" s="99" t="s">
        <v>137</v>
      </c>
      <c r="C9" s="100">
        <v>38154</v>
      </c>
      <c r="D9" s="51" t="s">
        <v>138</v>
      </c>
      <c r="E9" s="51"/>
      <c r="F9" s="51" t="s">
        <v>139</v>
      </c>
    </row>
    <row r="10" spans="1:6">
      <c r="A10" s="51">
        <v>9</v>
      </c>
      <c r="B10" s="99" t="s">
        <v>140</v>
      </c>
      <c r="C10" s="100">
        <v>38450</v>
      </c>
      <c r="D10" s="51"/>
      <c r="E10" s="51"/>
      <c r="F10" s="51" t="s">
        <v>18</v>
      </c>
    </row>
    <row r="11" spans="1:6">
      <c r="A11" s="51">
        <v>10</v>
      </c>
      <c r="B11" s="99" t="s">
        <v>141</v>
      </c>
      <c r="C11" s="100">
        <v>38450</v>
      </c>
      <c r="D11" s="51"/>
      <c r="E11" s="51"/>
      <c r="F11" s="51" t="s">
        <v>25</v>
      </c>
    </row>
    <row r="12" spans="1:6">
      <c r="A12" s="51">
        <v>11</v>
      </c>
      <c r="B12" s="99" t="s">
        <v>142</v>
      </c>
      <c r="C12" s="100">
        <v>38440</v>
      </c>
      <c r="D12" s="51" t="s">
        <v>13</v>
      </c>
      <c r="E12" s="51"/>
      <c r="F12" s="51" t="s">
        <v>14</v>
      </c>
    </row>
    <row r="13" spans="1:6">
      <c r="A13" s="51">
        <v>12</v>
      </c>
      <c r="B13" s="99" t="s">
        <v>143</v>
      </c>
      <c r="C13" s="100">
        <v>38480</v>
      </c>
      <c r="D13" s="51" t="s">
        <v>127</v>
      </c>
      <c r="E13" s="51"/>
      <c r="F13" s="51" t="s">
        <v>128</v>
      </c>
    </row>
    <row r="14" spans="1:6">
      <c r="A14" s="51">
        <v>13</v>
      </c>
      <c r="B14" s="99" t="s">
        <v>144</v>
      </c>
      <c r="C14" s="100">
        <v>38425</v>
      </c>
      <c r="D14" s="51" t="s">
        <v>145</v>
      </c>
      <c r="E14" s="51"/>
      <c r="F14" s="51" t="s">
        <v>146</v>
      </c>
    </row>
    <row r="15" spans="1:6">
      <c r="A15" s="51">
        <v>14</v>
      </c>
      <c r="B15" s="99" t="s">
        <v>147</v>
      </c>
      <c r="C15" s="100">
        <v>38551</v>
      </c>
      <c r="D15" s="51"/>
      <c r="E15" s="51"/>
      <c r="F15" s="51" t="s">
        <v>18</v>
      </c>
    </row>
    <row r="16" spans="1:6">
      <c r="A16" s="51">
        <v>15</v>
      </c>
      <c r="B16" s="99" t="s">
        <v>148</v>
      </c>
      <c r="C16" s="100">
        <v>38498</v>
      </c>
      <c r="D16" s="51" t="s">
        <v>53</v>
      </c>
      <c r="E16" s="51"/>
      <c r="F16" s="51" t="s">
        <v>54</v>
      </c>
    </row>
    <row r="17" spans="1:6">
      <c r="A17" s="51">
        <v>16</v>
      </c>
      <c r="B17" s="99" t="s">
        <v>149</v>
      </c>
      <c r="C17" s="100">
        <v>38636</v>
      </c>
      <c r="D17" s="51"/>
      <c r="E17" s="51"/>
      <c r="F17" s="51"/>
    </row>
    <row r="18" spans="1:6">
      <c r="A18" s="51">
        <v>17</v>
      </c>
      <c r="B18" s="99" t="s">
        <v>150</v>
      </c>
      <c r="C18" s="100">
        <v>38633</v>
      </c>
      <c r="D18" s="51" t="s">
        <v>145</v>
      </c>
      <c r="E18" s="100">
        <v>39414</v>
      </c>
      <c r="F18" s="51" t="s">
        <v>146</v>
      </c>
    </row>
    <row r="19" spans="1:6">
      <c r="A19" s="51">
        <v>18</v>
      </c>
      <c r="B19" s="99" t="s">
        <v>151</v>
      </c>
      <c r="C19" s="100">
        <v>38662</v>
      </c>
      <c r="D19" s="51" t="s">
        <v>152</v>
      </c>
      <c r="E19" s="51"/>
      <c r="F19" s="51" t="s">
        <v>153</v>
      </c>
    </row>
    <row r="20" spans="1:6">
      <c r="A20" s="51">
        <v>19</v>
      </c>
      <c r="B20" s="51" t="s">
        <v>154</v>
      </c>
      <c r="C20" s="100">
        <v>38450</v>
      </c>
      <c r="D20" s="51" t="s">
        <v>155</v>
      </c>
      <c r="E20" s="51"/>
      <c r="F20" s="51" t="s">
        <v>156</v>
      </c>
    </row>
    <row r="21" spans="1:6">
      <c r="A21" s="51">
        <v>20</v>
      </c>
      <c r="B21" s="51" t="s">
        <v>157</v>
      </c>
      <c r="C21" s="100">
        <v>38442</v>
      </c>
      <c r="D21" s="51" t="s">
        <v>13</v>
      </c>
      <c r="E21" s="51"/>
      <c r="F21" s="51" t="s">
        <v>14</v>
      </c>
    </row>
    <row r="22" spans="1:6">
      <c r="A22" s="51">
        <v>21</v>
      </c>
      <c r="B22" s="51" t="s">
        <v>158</v>
      </c>
      <c r="C22" s="100">
        <v>38613</v>
      </c>
      <c r="D22" s="51" t="s">
        <v>159</v>
      </c>
      <c r="E22" s="51"/>
      <c r="F22" s="51" t="s">
        <v>160</v>
      </c>
    </row>
    <row r="23" spans="1:6">
      <c r="A23" s="51">
        <v>22</v>
      </c>
      <c r="B23" s="51" t="s">
        <v>161</v>
      </c>
      <c r="C23" s="100">
        <v>38757</v>
      </c>
      <c r="D23" s="51" t="s">
        <v>162</v>
      </c>
      <c r="E23" s="51"/>
      <c r="F23" s="51" t="s">
        <v>163</v>
      </c>
    </row>
    <row r="24" spans="1:6">
      <c r="A24" s="51">
        <v>23</v>
      </c>
      <c r="B24" s="51" t="s">
        <v>164</v>
      </c>
      <c r="C24" s="100">
        <v>38774</v>
      </c>
      <c r="D24" s="51" t="s">
        <v>165</v>
      </c>
      <c r="E24" s="51"/>
      <c r="F24" s="51" t="s">
        <v>166</v>
      </c>
    </row>
    <row r="25" spans="1:6">
      <c r="A25" s="51">
        <v>24</v>
      </c>
      <c r="B25" s="51" t="s">
        <v>167</v>
      </c>
      <c r="C25" s="100">
        <v>38460</v>
      </c>
      <c r="D25" s="51" t="s">
        <v>56</v>
      </c>
      <c r="E25" s="51"/>
      <c r="F25" s="51" t="s">
        <v>57</v>
      </c>
    </row>
    <row r="26" spans="1:6">
      <c r="A26" s="51">
        <v>25</v>
      </c>
      <c r="B26" s="51" t="s">
        <v>168</v>
      </c>
      <c r="C26" s="100">
        <v>38776</v>
      </c>
      <c r="D26" s="51" t="s">
        <v>13</v>
      </c>
      <c r="E26" s="51"/>
      <c r="F26" s="51" t="s">
        <v>14</v>
      </c>
    </row>
    <row r="27" spans="1:6">
      <c r="A27" s="51">
        <v>26</v>
      </c>
      <c r="B27" s="51" t="s">
        <v>169</v>
      </c>
      <c r="C27" s="100">
        <v>38779</v>
      </c>
      <c r="D27" s="51" t="s">
        <v>170</v>
      </c>
      <c r="E27" s="51"/>
      <c r="F27" s="51" t="s">
        <v>171</v>
      </c>
    </row>
    <row r="28" spans="1:6">
      <c r="A28" s="51">
        <v>27</v>
      </c>
      <c r="B28" s="51" t="s">
        <v>172</v>
      </c>
      <c r="C28" s="100">
        <v>38653</v>
      </c>
      <c r="D28" s="51" t="s">
        <v>173</v>
      </c>
      <c r="E28" s="51"/>
      <c r="F28" s="51" t="s">
        <v>174</v>
      </c>
    </row>
    <row r="29" spans="1:6">
      <c r="A29" s="51">
        <v>28</v>
      </c>
      <c r="B29" s="51" t="s">
        <v>175</v>
      </c>
      <c r="C29" s="100">
        <v>38460</v>
      </c>
      <c r="D29" s="51" t="s">
        <v>110</v>
      </c>
      <c r="E29" s="51"/>
      <c r="F29" s="51" t="s">
        <v>111</v>
      </c>
    </row>
    <row r="30" spans="1:6">
      <c r="A30" s="51">
        <v>29</v>
      </c>
      <c r="B30" s="51" t="s">
        <v>176</v>
      </c>
      <c r="C30" s="100">
        <v>38804</v>
      </c>
      <c r="D30" s="51" t="s">
        <v>177</v>
      </c>
      <c r="E30" s="51"/>
      <c r="F30" s="51" t="s">
        <v>178</v>
      </c>
    </row>
    <row r="31" spans="1:6">
      <c r="A31" s="97" t="s">
        <v>0</v>
      </c>
      <c r="B31" s="97" t="s">
        <v>1</v>
      </c>
      <c r="C31" s="97" t="s">
        <v>2</v>
      </c>
      <c r="D31" s="51" t="s">
        <v>3</v>
      </c>
      <c r="E31" s="51" t="s">
        <v>4</v>
      </c>
      <c r="F31" s="51" t="s">
        <v>5</v>
      </c>
    </row>
    <row r="32" spans="1:6">
      <c r="A32" s="51">
        <v>30</v>
      </c>
      <c r="B32" s="51" t="s">
        <v>179</v>
      </c>
      <c r="C32" s="100">
        <v>38957</v>
      </c>
      <c r="D32" s="51" t="s">
        <v>110</v>
      </c>
      <c r="E32" s="108">
        <v>39414</v>
      </c>
      <c r="F32" s="109" t="s">
        <v>111</v>
      </c>
    </row>
    <row r="33" spans="1:6">
      <c r="A33" s="51">
        <v>31</v>
      </c>
      <c r="B33" s="51" t="s">
        <v>180</v>
      </c>
      <c r="C33" s="100">
        <v>38883</v>
      </c>
      <c r="D33" s="51" t="s">
        <v>181</v>
      </c>
      <c r="E33" s="108">
        <v>39414</v>
      </c>
      <c r="F33" s="51" t="s">
        <v>182</v>
      </c>
    </row>
    <row r="34" spans="1:6">
      <c r="A34" s="51">
        <v>32</v>
      </c>
      <c r="B34" s="51" t="s">
        <v>183</v>
      </c>
      <c r="C34" s="100">
        <v>39039</v>
      </c>
      <c r="D34" s="51" t="s">
        <v>24</v>
      </c>
      <c r="E34" s="108">
        <v>39414</v>
      </c>
      <c r="F34" s="51" t="s">
        <v>25</v>
      </c>
    </row>
    <row r="35" spans="1:6">
      <c r="A35" s="51">
        <v>33</v>
      </c>
      <c r="B35" s="51" t="s">
        <v>184</v>
      </c>
      <c r="C35" s="100">
        <v>39071</v>
      </c>
      <c r="D35" s="51"/>
      <c r="E35" s="108">
        <v>39414</v>
      </c>
      <c r="F35" s="51" t="s">
        <v>185</v>
      </c>
    </row>
    <row r="36" spans="1:6">
      <c r="A36" s="51">
        <v>34</v>
      </c>
      <c r="B36" s="51" t="s">
        <v>186</v>
      </c>
      <c r="C36" s="100">
        <v>39071</v>
      </c>
      <c r="D36" s="51"/>
      <c r="E36" s="108">
        <v>39414</v>
      </c>
      <c r="F36" s="51" t="s">
        <v>187</v>
      </c>
    </row>
    <row r="37" spans="1:6">
      <c r="A37" s="51">
        <v>35</v>
      </c>
      <c r="B37" s="51" t="s">
        <v>188</v>
      </c>
      <c r="C37" s="100">
        <v>39029</v>
      </c>
      <c r="D37" s="51" t="s">
        <v>189</v>
      </c>
      <c r="E37" s="108">
        <v>39414</v>
      </c>
      <c r="F37" s="51" t="s">
        <v>190</v>
      </c>
    </row>
    <row r="38" spans="1:6">
      <c r="A38" s="51">
        <v>36</v>
      </c>
      <c r="B38" s="51" t="s">
        <v>191</v>
      </c>
      <c r="C38" s="100">
        <v>38847</v>
      </c>
      <c r="D38" s="51"/>
      <c r="E38" s="51"/>
      <c r="F38" s="51"/>
    </row>
    <row r="39" spans="1:6">
      <c r="A39" s="51">
        <v>37</v>
      </c>
      <c r="B39" s="51" t="s">
        <v>192</v>
      </c>
      <c r="C39" s="100">
        <v>38847</v>
      </c>
      <c r="D39" s="51"/>
      <c r="E39" s="51"/>
      <c r="F39" s="51"/>
    </row>
    <row r="40" spans="1:6">
      <c r="A40" s="51">
        <v>38</v>
      </c>
      <c r="B40" s="51" t="s">
        <v>193</v>
      </c>
      <c r="C40" s="100">
        <v>38937</v>
      </c>
      <c r="D40" s="51"/>
      <c r="E40" s="51"/>
      <c r="F40" s="51"/>
    </row>
    <row r="41" spans="1:6">
      <c r="A41" s="51">
        <v>39</v>
      </c>
      <c r="B41" s="51" t="s">
        <v>194</v>
      </c>
      <c r="C41" s="100">
        <v>38978</v>
      </c>
      <c r="D41" s="51" t="s">
        <v>195</v>
      </c>
      <c r="E41" s="100">
        <v>39414</v>
      </c>
      <c r="F41" s="51" t="s">
        <v>196</v>
      </c>
    </row>
    <row r="42" spans="1:6">
      <c r="A42" s="51">
        <v>40</v>
      </c>
      <c r="B42" s="51" t="s">
        <v>197</v>
      </c>
      <c r="C42" s="100">
        <v>38968</v>
      </c>
      <c r="D42" s="51" t="s">
        <v>198</v>
      </c>
      <c r="E42" s="100">
        <v>39414</v>
      </c>
      <c r="F42" s="51" t="s">
        <v>60</v>
      </c>
    </row>
    <row r="43" spans="1:6">
      <c r="A43" s="51">
        <v>41</v>
      </c>
      <c r="B43" s="51" t="s">
        <v>199</v>
      </c>
      <c r="C43" s="100">
        <v>38958</v>
      </c>
      <c r="D43" s="51" t="s">
        <v>200</v>
      </c>
      <c r="E43" s="100">
        <v>39414</v>
      </c>
      <c r="F43" s="51" t="s">
        <v>201</v>
      </c>
    </row>
    <row r="44" spans="1:6">
      <c r="A44" s="51">
        <v>42</v>
      </c>
      <c r="B44" s="51" t="s">
        <v>202</v>
      </c>
      <c r="C44" s="100">
        <v>39201</v>
      </c>
      <c r="D44" s="51" t="s">
        <v>200</v>
      </c>
      <c r="E44" s="100">
        <v>39414</v>
      </c>
      <c r="F44" s="51" t="s">
        <v>201</v>
      </c>
    </row>
    <row r="45" spans="1:6">
      <c r="A45" s="51">
        <v>43</v>
      </c>
      <c r="B45" s="51" t="s">
        <v>203</v>
      </c>
      <c r="C45" s="100">
        <v>38958</v>
      </c>
      <c r="D45" s="51" t="s">
        <v>114</v>
      </c>
      <c r="E45" s="100">
        <v>39414</v>
      </c>
      <c r="F45" s="51" t="s">
        <v>115</v>
      </c>
    </row>
    <row r="46" spans="1:6">
      <c r="A46" s="51">
        <v>44</v>
      </c>
      <c r="B46" s="51" t="s">
        <v>204</v>
      </c>
      <c r="C46" s="100">
        <v>38958</v>
      </c>
      <c r="D46" s="51" t="s">
        <v>205</v>
      </c>
      <c r="E46" s="100">
        <v>39414</v>
      </c>
      <c r="F46" s="51" t="s">
        <v>206</v>
      </c>
    </row>
    <row r="47" spans="1:6">
      <c r="A47" s="51">
        <v>45</v>
      </c>
      <c r="B47" s="51" t="s">
        <v>207</v>
      </c>
      <c r="C47" s="100">
        <v>39044</v>
      </c>
      <c r="D47" s="51" t="s">
        <v>30</v>
      </c>
      <c r="E47" s="100">
        <v>39414</v>
      </c>
      <c r="F47" s="51" t="s">
        <v>31</v>
      </c>
    </row>
    <row r="48" spans="1:6">
      <c r="A48" s="51">
        <v>46</v>
      </c>
      <c r="B48" s="51" t="s">
        <v>208</v>
      </c>
      <c r="C48" s="100">
        <v>39107</v>
      </c>
      <c r="D48" s="51" t="s">
        <v>209</v>
      </c>
      <c r="E48" s="100">
        <v>39414</v>
      </c>
      <c r="F48" s="51" t="s">
        <v>210</v>
      </c>
    </row>
    <row r="49" spans="1:6">
      <c r="A49" s="51">
        <v>47</v>
      </c>
      <c r="B49" s="51" t="s">
        <v>211</v>
      </c>
      <c r="C49" s="100">
        <v>38876</v>
      </c>
      <c r="D49" s="51" t="s">
        <v>212</v>
      </c>
      <c r="E49" s="100">
        <v>39414</v>
      </c>
      <c r="F49" s="51" t="s">
        <v>213</v>
      </c>
    </row>
    <row r="50" spans="1:6">
      <c r="A50" s="51">
        <v>48</v>
      </c>
      <c r="B50" s="51" t="s">
        <v>214</v>
      </c>
      <c r="C50" s="100">
        <v>39190</v>
      </c>
      <c r="D50" s="51" t="s">
        <v>215</v>
      </c>
      <c r="E50" s="100">
        <v>39414</v>
      </c>
      <c r="F50" s="51" t="s">
        <v>124</v>
      </c>
    </row>
    <row r="51" spans="1:6">
      <c r="A51" s="51">
        <v>49</v>
      </c>
      <c r="B51" s="51" t="s">
        <v>216</v>
      </c>
      <c r="C51" s="100">
        <v>39230</v>
      </c>
      <c r="D51" s="51" t="s">
        <v>217</v>
      </c>
      <c r="E51" s="100">
        <v>39414</v>
      </c>
      <c r="F51" s="51" t="s">
        <v>218</v>
      </c>
    </row>
    <row r="52" spans="1:6">
      <c r="A52" s="51">
        <v>50</v>
      </c>
      <c r="B52" s="51" t="s">
        <v>219</v>
      </c>
      <c r="C52" s="100">
        <v>39230</v>
      </c>
      <c r="D52" s="51" t="s">
        <v>220</v>
      </c>
      <c r="E52" s="100">
        <v>39414</v>
      </c>
      <c r="F52" s="51" t="s">
        <v>221</v>
      </c>
    </row>
    <row r="53" spans="1:6">
      <c r="A53" s="51">
        <v>51</v>
      </c>
      <c r="B53" s="51" t="s">
        <v>222</v>
      </c>
      <c r="C53" s="100">
        <v>39230</v>
      </c>
      <c r="D53" s="51" t="s">
        <v>223</v>
      </c>
      <c r="E53" s="100">
        <v>39414</v>
      </c>
      <c r="F53" s="51" t="s">
        <v>221</v>
      </c>
    </row>
    <row r="54" spans="1:6">
      <c r="A54" s="51">
        <v>52</v>
      </c>
      <c r="B54" s="51" t="s">
        <v>224</v>
      </c>
      <c r="C54" s="100">
        <v>38748</v>
      </c>
      <c r="D54" s="51" t="s">
        <v>225</v>
      </c>
      <c r="E54" s="100">
        <v>39414</v>
      </c>
      <c r="F54" s="51" t="s">
        <v>105</v>
      </c>
    </row>
    <row r="55" spans="1:6">
      <c r="A55" s="51">
        <v>53</v>
      </c>
      <c r="B55" s="51" t="s">
        <v>226</v>
      </c>
      <c r="C55" s="100">
        <v>39241</v>
      </c>
      <c r="D55" s="51" t="s">
        <v>227</v>
      </c>
      <c r="E55" s="100">
        <v>39414</v>
      </c>
      <c r="F55" s="51" t="s">
        <v>228</v>
      </c>
    </row>
    <row r="56" spans="1:6">
      <c r="A56" s="51">
        <v>54</v>
      </c>
      <c r="B56" s="51" t="s">
        <v>229</v>
      </c>
      <c r="C56" s="51"/>
      <c r="D56" s="51"/>
      <c r="E56" s="51"/>
      <c r="F56" s="51"/>
    </row>
    <row r="57" spans="1:6">
      <c r="A57" s="51">
        <v>55</v>
      </c>
      <c r="B57" s="51" t="s">
        <v>230</v>
      </c>
      <c r="C57" s="100">
        <v>39264</v>
      </c>
      <c r="D57" s="51" t="s">
        <v>227</v>
      </c>
      <c r="E57" s="51"/>
      <c r="F57" s="51"/>
    </row>
    <row r="58" spans="1:6">
      <c r="A58" s="51">
        <v>56</v>
      </c>
      <c r="B58" s="51" t="s">
        <v>231</v>
      </c>
      <c r="C58" s="100" t="s">
        <v>232</v>
      </c>
      <c r="D58" s="51"/>
      <c r="E58" s="51"/>
      <c r="F58" s="51"/>
    </row>
    <row r="59" spans="1:6">
      <c r="A59" s="51"/>
      <c r="B59" s="51"/>
      <c r="C59" s="51"/>
      <c r="D59" s="51"/>
      <c r="E59" s="51"/>
      <c r="F59" s="51"/>
    </row>
    <row r="60" spans="1:6">
      <c r="A60" s="51"/>
      <c r="B60" s="51"/>
      <c r="C60" s="51"/>
      <c r="D60" s="51"/>
      <c r="E60" s="51"/>
      <c r="F60" s="51"/>
    </row>
  </sheetData>
  <autoFilter xmlns:etc="http://www.wps.cn/officeDocument/2017/etCustomData" ref="A1:F58" etc:filterBottomFollowUsedRange="0">
    <extLst/>
  </autoFilter>
  <pageMargins left="0.75" right="0.75" top="1" bottom="1" header="0.5" footer="0.5"/>
  <pageSetup paperSize="9" orientation="landscape" horizontalDpi="600" verticalDpi="6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view="pageBreakPreview" zoomScaleNormal="100" workbookViewId="0">
      <selection activeCell="C29" sqref="C29"/>
    </sheetView>
  </sheetViews>
  <sheetFormatPr defaultColWidth="4.9" defaultRowHeight="15"/>
  <cols>
    <col min="1" max="1" width="4.9" customWidth="1"/>
    <col min="2" max="2" width="72.7" customWidth="1"/>
    <col min="3" max="4" width="11.4" customWidth="1"/>
    <col min="5" max="5" width="10.5" customWidth="1"/>
    <col min="6" max="6" width="10.9" customWidth="1"/>
    <col min="7" max="8" width="4.9" customWidth="1"/>
    <col min="9" max="9" width="9.6" customWidth="1"/>
  </cols>
  <sheetData>
    <row r="1" spans="1:9">
      <c r="A1" s="96" t="s">
        <v>0</v>
      </c>
      <c r="B1" s="97" t="s">
        <v>1</v>
      </c>
      <c r="C1" s="97" t="s">
        <v>2</v>
      </c>
      <c r="D1" s="96" t="s">
        <v>3</v>
      </c>
      <c r="E1" s="96" t="s">
        <v>4</v>
      </c>
      <c r="F1" s="96" t="s">
        <v>5</v>
      </c>
      <c r="I1" s="98" t="s">
        <v>233</v>
      </c>
    </row>
    <row r="2" spans="1:9">
      <c r="A2" s="51">
        <v>1</v>
      </c>
      <c r="B2" s="99" t="s">
        <v>234</v>
      </c>
      <c r="C2" s="100">
        <v>39461</v>
      </c>
      <c r="D2" s="51" t="s">
        <v>235</v>
      </c>
      <c r="E2" s="51"/>
      <c r="F2" s="51"/>
      <c r="I2" s="98"/>
    </row>
    <row r="3" spans="1:9">
      <c r="A3" s="98">
        <v>2</v>
      </c>
      <c r="B3" s="98" t="s">
        <v>236</v>
      </c>
      <c r="C3" s="50">
        <v>39461</v>
      </c>
      <c r="D3" s="98" t="s">
        <v>212</v>
      </c>
      <c r="E3" s="98"/>
      <c r="F3" s="98"/>
      <c r="I3" s="98"/>
    </row>
    <row r="4" spans="1:9">
      <c r="A4" s="51">
        <v>3</v>
      </c>
      <c r="B4" s="98" t="s">
        <v>237</v>
      </c>
      <c r="C4" s="50">
        <v>39440</v>
      </c>
      <c r="D4" s="98" t="s">
        <v>238</v>
      </c>
      <c r="E4" s="98"/>
      <c r="F4" s="98"/>
      <c r="I4" s="98"/>
    </row>
    <row r="5" spans="1:9">
      <c r="A5" s="98">
        <v>4</v>
      </c>
      <c r="B5" s="98" t="s">
        <v>239</v>
      </c>
      <c r="C5" s="50">
        <v>39462</v>
      </c>
      <c r="D5" s="98" t="s">
        <v>104</v>
      </c>
      <c r="E5" s="98"/>
      <c r="F5" s="98"/>
      <c r="I5" s="98"/>
    </row>
    <row r="6" spans="1:9">
      <c r="A6" s="51">
        <v>5</v>
      </c>
      <c r="B6" s="51" t="s">
        <v>240</v>
      </c>
      <c r="C6" s="50">
        <v>39462</v>
      </c>
      <c r="D6" s="98" t="s">
        <v>241</v>
      </c>
      <c r="E6" s="98"/>
      <c r="F6" s="98"/>
      <c r="I6" s="98"/>
    </row>
    <row r="7" spans="1:9">
      <c r="A7" s="98">
        <v>6</v>
      </c>
      <c r="B7" s="98" t="s">
        <v>242</v>
      </c>
      <c r="C7" s="50">
        <v>39462</v>
      </c>
      <c r="D7" s="98" t="s">
        <v>241</v>
      </c>
      <c r="E7" s="98"/>
      <c r="F7" s="98"/>
      <c r="I7" s="98"/>
    </row>
    <row r="8" spans="1:9">
      <c r="A8" s="51">
        <v>7</v>
      </c>
      <c r="B8" s="98" t="s">
        <v>243</v>
      </c>
      <c r="C8" s="50">
        <v>39609</v>
      </c>
      <c r="D8" s="98" t="s">
        <v>46</v>
      </c>
      <c r="E8" s="98"/>
      <c r="F8" s="98"/>
      <c r="I8" s="98"/>
    </row>
    <row r="9" s="94" customFormat="1" spans="1:9">
      <c r="A9" s="51">
        <v>8</v>
      </c>
      <c r="B9" s="51" t="s">
        <v>244</v>
      </c>
      <c r="C9" s="100">
        <v>39653</v>
      </c>
      <c r="D9" s="51" t="s">
        <v>245</v>
      </c>
      <c r="E9" s="51"/>
      <c r="F9" s="51"/>
      <c r="I9" s="51"/>
    </row>
    <row r="10" s="94" customFormat="1" spans="1:9">
      <c r="A10" s="51">
        <v>9</v>
      </c>
      <c r="B10" s="51" t="s">
        <v>246</v>
      </c>
      <c r="C10" s="100">
        <v>39653</v>
      </c>
      <c r="D10" s="51" t="s">
        <v>247</v>
      </c>
      <c r="E10" s="51"/>
      <c r="F10" s="51"/>
      <c r="I10" s="51"/>
    </row>
    <row r="11" s="94" customFormat="1" spans="1:9">
      <c r="A11" s="51">
        <v>10</v>
      </c>
      <c r="B11" s="51" t="s">
        <v>248</v>
      </c>
      <c r="C11" s="100">
        <v>39671</v>
      </c>
      <c r="D11" s="51"/>
      <c r="E11" s="51"/>
      <c r="F11" s="51"/>
      <c r="I11" s="51"/>
    </row>
    <row r="12" s="94" customFormat="1" spans="1:9">
      <c r="A12" s="51">
        <v>11</v>
      </c>
      <c r="B12" s="51" t="s">
        <v>249</v>
      </c>
      <c r="C12" s="100">
        <v>39681</v>
      </c>
      <c r="D12" s="51" t="s">
        <v>250</v>
      </c>
      <c r="E12" s="51"/>
      <c r="F12" s="51"/>
      <c r="I12" s="51"/>
    </row>
    <row r="13" s="94" customFormat="1" spans="1:9">
      <c r="A13" s="51">
        <v>12</v>
      </c>
      <c r="B13" s="51" t="s">
        <v>251</v>
      </c>
      <c r="C13" s="100">
        <v>39716</v>
      </c>
      <c r="D13" s="51" t="s">
        <v>252</v>
      </c>
      <c r="E13" s="51"/>
      <c r="F13" s="51"/>
      <c r="I13" s="51"/>
    </row>
    <row r="14" spans="1:9">
      <c r="A14" s="51">
        <v>13</v>
      </c>
      <c r="B14" s="98" t="s">
        <v>253</v>
      </c>
      <c r="C14" s="50">
        <v>39727</v>
      </c>
      <c r="D14" s="98" t="s">
        <v>110</v>
      </c>
      <c r="E14" s="98"/>
      <c r="F14" s="98"/>
      <c r="I14" s="98"/>
    </row>
    <row r="15" spans="1:9">
      <c r="A15" s="51">
        <v>14</v>
      </c>
      <c r="B15" s="98" t="s">
        <v>254</v>
      </c>
      <c r="C15" s="50">
        <v>39792</v>
      </c>
      <c r="D15" s="98" t="s">
        <v>255</v>
      </c>
      <c r="E15" s="98"/>
      <c r="F15" s="98"/>
      <c r="I15" s="98"/>
    </row>
    <row r="16" spans="1:9">
      <c r="A16" s="51">
        <v>15</v>
      </c>
      <c r="B16" s="98" t="s">
        <v>256</v>
      </c>
      <c r="C16" s="50">
        <v>39792</v>
      </c>
      <c r="D16" s="98" t="s">
        <v>257</v>
      </c>
      <c r="E16" s="98"/>
      <c r="F16" s="98"/>
      <c r="I16" s="98"/>
    </row>
    <row r="17" spans="1:9">
      <c r="A17" s="51">
        <v>16</v>
      </c>
      <c r="B17" s="98" t="s">
        <v>258</v>
      </c>
      <c r="C17" s="50">
        <v>39792</v>
      </c>
      <c r="D17" s="98" t="s">
        <v>76</v>
      </c>
      <c r="E17" s="98"/>
      <c r="F17" s="98"/>
      <c r="I17" s="98"/>
    </row>
    <row r="18" spans="1:9">
      <c r="A18" s="51">
        <v>17</v>
      </c>
      <c r="B18" s="98" t="s">
        <v>259</v>
      </c>
      <c r="C18" s="50">
        <v>39792</v>
      </c>
      <c r="D18" s="98" t="s">
        <v>59</v>
      </c>
      <c r="E18" s="98"/>
      <c r="F18" s="98"/>
      <c r="I18" s="98"/>
    </row>
    <row r="19" spans="1:9">
      <c r="A19" s="51">
        <v>18</v>
      </c>
      <c r="B19" s="98" t="s">
        <v>260</v>
      </c>
      <c r="C19" s="50">
        <v>39792</v>
      </c>
      <c r="D19" s="98" t="s">
        <v>261</v>
      </c>
      <c r="E19" s="98"/>
      <c r="F19" s="98"/>
      <c r="I19" s="98"/>
    </row>
    <row r="20" spans="1:9">
      <c r="A20" s="51">
        <v>19</v>
      </c>
      <c r="B20" s="98" t="s">
        <v>262</v>
      </c>
      <c r="C20" s="50">
        <v>39792</v>
      </c>
      <c r="D20" s="98" t="s">
        <v>74</v>
      </c>
      <c r="E20" s="98"/>
      <c r="F20" s="98"/>
      <c r="I20" s="98"/>
    </row>
    <row r="21" spans="1:9">
      <c r="A21" s="51">
        <v>20</v>
      </c>
      <c r="B21" s="98" t="s">
        <v>263</v>
      </c>
      <c r="C21" s="50">
        <v>39792</v>
      </c>
      <c r="D21" s="98" t="s">
        <v>110</v>
      </c>
      <c r="E21" s="98"/>
      <c r="F21" s="98"/>
      <c r="I21" s="98"/>
    </row>
    <row r="22" spans="1:9">
      <c r="A22" s="51">
        <v>21</v>
      </c>
      <c r="B22" s="98" t="s">
        <v>264</v>
      </c>
      <c r="C22" s="50">
        <v>39792</v>
      </c>
      <c r="D22" s="98" t="s">
        <v>110</v>
      </c>
      <c r="E22" s="98"/>
      <c r="F22" s="98"/>
      <c r="I22" s="98"/>
    </row>
    <row r="23" spans="1:9">
      <c r="A23" s="51">
        <v>22</v>
      </c>
      <c r="B23" s="98" t="s">
        <v>265</v>
      </c>
      <c r="C23" s="50">
        <v>39808</v>
      </c>
      <c r="D23" s="98" t="s">
        <v>181</v>
      </c>
      <c r="E23" s="98"/>
      <c r="F23" s="98"/>
      <c r="I23" s="98"/>
    </row>
    <row r="24" spans="1:9">
      <c r="A24" s="51">
        <v>23</v>
      </c>
      <c r="B24" s="98" t="s">
        <v>266</v>
      </c>
      <c r="C24" s="50">
        <v>39817</v>
      </c>
      <c r="D24" s="98"/>
      <c r="E24" s="98"/>
      <c r="F24" s="98"/>
      <c r="I24" s="98"/>
    </row>
    <row r="25" s="95" customFormat="1" ht="30" spans="1:9">
      <c r="A25" s="101">
        <v>24</v>
      </c>
      <c r="B25" s="54" t="s">
        <v>267</v>
      </c>
      <c r="C25" s="102">
        <v>39817</v>
      </c>
      <c r="D25" s="54"/>
      <c r="E25" s="54"/>
      <c r="F25" s="103">
        <v>3760</v>
      </c>
      <c r="I25" s="54"/>
    </row>
    <row r="26" spans="1:9">
      <c r="A26" s="51">
        <v>25</v>
      </c>
      <c r="B26" s="98" t="s">
        <v>268</v>
      </c>
      <c r="C26" s="50">
        <v>39873</v>
      </c>
      <c r="D26" s="98" t="s">
        <v>104</v>
      </c>
      <c r="E26" s="98"/>
      <c r="F26" s="98"/>
      <c r="I26" s="98"/>
    </row>
    <row r="27" spans="1:9">
      <c r="A27" s="51">
        <v>26</v>
      </c>
      <c r="B27" s="98" t="s">
        <v>269</v>
      </c>
      <c r="C27" s="50">
        <v>39899</v>
      </c>
      <c r="D27" s="98" t="s">
        <v>270</v>
      </c>
      <c r="E27" s="98"/>
      <c r="F27" s="98"/>
      <c r="I27" s="98"/>
    </row>
    <row r="28" spans="1:9">
      <c r="A28" s="51">
        <v>27</v>
      </c>
      <c r="B28" s="98" t="s">
        <v>271</v>
      </c>
      <c r="C28" s="50">
        <v>39899</v>
      </c>
      <c r="D28" s="98"/>
      <c r="E28" s="98"/>
      <c r="F28" s="98"/>
      <c r="I28" s="98"/>
    </row>
    <row r="29" spans="1:9">
      <c r="A29" s="51">
        <v>28</v>
      </c>
      <c r="B29" s="98" t="s">
        <v>272</v>
      </c>
      <c r="C29" s="50">
        <v>39903</v>
      </c>
      <c r="D29" s="104" t="s">
        <v>273</v>
      </c>
      <c r="E29" s="98"/>
      <c r="F29" s="98"/>
      <c r="I29" s="50">
        <v>39818</v>
      </c>
    </row>
  </sheetData>
  <autoFilter xmlns:etc="http://www.wps.cn/officeDocument/2017/etCustomData" ref="A1:I29" etc:filterBottomFollowUsedRange="0">
    <extLst/>
  </autoFilter>
  <pageMargins left="0.75" right="0.75" top="1" bottom="1" header="0.5" footer="0.5"/>
  <pageSetup paperSize="9" orientation="landscape" horizontalDpi="600" verticalDpi="6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Q1042"/>
  <sheetViews>
    <sheetView tabSelected="1" view="pageBreakPreview" zoomScale="83" zoomScaleNormal="100" topLeftCell="B1" workbookViewId="0">
      <pane ySplit="1" topLeftCell="A2" activePane="bottomLeft" state="frozen"/>
      <selection/>
      <selection pane="bottomLeft" activeCell="G19" sqref="G19"/>
    </sheetView>
  </sheetViews>
  <sheetFormatPr defaultColWidth="8.66666666666667" defaultRowHeight="13"/>
  <cols>
    <col min="1" max="1" width="9" style="5" hidden="1" customWidth="1"/>
    <col min="2" max="2" width="7.8" style="5" customWidth="1"/>
    <col min="3" max="3" width="44" style="6" customWidth="1"/>
    <col min="4" max="4" width="30.7" style="6" customWidth="1"/>
    <col min="5" max="5" width="12.5" style="7" customWidth="1"/>
    <col min="6" max="6" width="14" style="6" customWidth="1"/>
    <col min="7" max="7" width="87.8" style="6" customWidth="1"/>
    <col min="8" max="9" width="14" style="5" customWidth="1"/>
    <col min="10" max="10" width="11" style="8" customWidth="1"/>
    <col min="11" max="11" width="15.1" style="5" customWidth="1"/>
    <col min="12" max="12" width="11.6" style="9" customWidth="1"/>
    <col min="13" max="13" width="9" style="9" customWidth="1"/>
    <col min="14" max="14" width="9" style="5" customWidth="1"/>
    <col min="15" max="15" width="11.2" style="10" customWidth="1"/>
    <col min="16" max="16" width="9" style="5" customWidth="1"/>
    <col min="17" max="17" width="9.9" style="11" customWidth="1"/>
    <col min="18" max="16384" width="8.8" style="5"/>
  </cols>
  <sheetData>
    <row r="1" s="1" customFormat="1" ht="48.6" customHeight="1" spans="1:17">
      <c r="A1" s="12"/>
      <c r="B1" s="13" t="s">
        <v>0</v>
      </c>
      <c r="C1" s="14" t="s">
        <v>1</v>
      </c>
      <c r="D1" s="14" t="s">
        <v>274</v>
      </c>
      <c r="E1" s="15" t="s">
        <v>275</v>
      </c>
      <c r="F1" s="16" t="s">
        <v>276</v>
      </c>
      <c r="G1" s="16" t="s">
        <v>277</v>
      </c>
      <c r="H1" s="17" t="s">
        <v>278</v>
      </c>
      <c r="I1" s="17" t="s">
        <v>279</v>
      </c>
      <c r="J1" s="13" t="s">
        <v>233</v>
      </c>
      <c r="K1" s="13" t="s">
        <v>280</v>
      </c>
      <c r="L1" s="18" t="s">
        <v>281</v>
      </c>
      <c r="M1" s="18" t="s">
        <v>282</v>
      </c>
      <c r="N1" s="19" t="s">
        <v>283</v>
      </c>
      <c r="O1" s="20" t="s">
        <v>284</v>
      </c>
      <c r="P1" s="1" t="s">
        <v>285</v>
      </c>
      <c r="Q1" s="21" t="s">
        <v>286</v>
      </c>
    </row>
    <row r="2" ht="26" spans="1:17">
      <c r="A2" s="22">
        <v>4</v>
      </c>
      <c r="B2" s="23">
        <v>1</v>
      </c>
      <c r="C2" s="14" t="s">
        <v>287</v>
      </c>
      <c r="D2" s="24" t="s">
        <v>288</v>
      </c>
      <c r="E2" s="25"/>
      <c r="F2" s="24"/>
      <c r="G2" s="24"/>
      <c r="H2" s="1"/>
      <c r="I2" s="1"/>
      <c r="J2" s="26">
        <v>39749</v>
      </c>
      <c r="K2" s="23">
        <v>110</v>
      </c>
      <c r="L2" s="27">
        <v>2009</v>
      </c>
      <c r="M2" s="27">
        <v>330</v>
      </c>
      <c r="N2" s="23">
        <v>330</v>
      </c>
      <c r="O2" s="26">
        <v>39926</v>
      </c>
      <c r="P2" s="28"/>
    </row>
    <row r="3" ht="26" spans="1:17">
      <c r="A3" s="22"/>
      <c r="B3" s="1">
        <v>2</v>
      </c>
      <c r="C3" s="24" t="s">
        <v>289</v>
      </c>
      <c r="D3" s="24" t="s">
        <v>290</v>
      </c>
      <c r="E3" s="25"/>
      <c r="F3" s="24"/>
      <c r="G3" s="24"/>
      <c r="H3" s="1"/>
      <c r="I3" s="1"/>
      <c r="J3" s="29">
        <v>39699</v>
      </c>
      <c r="K3" s="1"/>
      <c r="L3" s="27"/>
      <c r="M3" s="27">
        <v>853</v>
      </c>
      <c r="N3" s="1"/>
      <c r="O3" s="29">
        <v>39952</v>
      </c>
      <c r="P3" s="28"/>
    </row>
    <row r="4" ht="26" spans="1:17">
      <c r="A4" s="22"/>
      <c r="B4" s="1">
        <v>3</v>
      </c>
      <c r="C4" s="24" t="s">
        <v>291</v>
      </c>
      <c r="D4" s="24" t="s">
        <v>292</v>
      </c>
      <c r="E4" s="25"/>
      <c r="F4" s="24"/>
      <c r="G4" s="24"/>
      <c r="H4" s="1"/>
      <c r="I4" s="1"/>
      <c r="J4" s="29">
        <v>39737</v>
      </c>
      <c r="K4" s="1"/>
      <c r="L4" s="27"/>
      <c r="M4" s="27">
        <v>2450</v>
      </c>
      <c r="N4" s="1">
        <v>2450</v>
      </c>
      <c r="O4" s="29">
        <v>39972</v>
      </c>
      <c r="P4" s="28"/>
    </row>
    <row r="5" ht="26" spans="1:17">
      <c r="A5" s="22"/>
      <c r="B5" s="1">
        <v>4</v>
      </c>
      <c r="C5" s="24" t="s">
        <v>293</v>
      </c>
      <c r="D5" s="24" t="s">
        <v>294</v>
      </c>
      <c r="E5" s="25"/>
      <c r="F5" s="24"/>
      <c r="G5" s="24"/>
      <c r="H5" s="1"/>
      <c r="I5" s="1"/>
      <c r="J5" s="29">
        <v>39637</v>
      </c>
      <c r="K5" s="1"/>
      <c r="L5" s="27"/>
      <c r="M5" s="27">
        <v>2077</v>
      </c>
      <c r="N5" s="1"/>
      <c r="O5" s="29">
        <v>40014</v>
      </c>
      <c r="P5" s="28"/>
    </row>
    <row r="6" ht="26" spans="1:17">
      <c r="A6" s="22"/>
      <c r="B6" s="1">
        <v>5</v>
      </c>
      <c r="C6" s="24" t="s">
        <v>295</v>
      </c>
      <c r="D6" s="24" t="s">
        <v>294</v>
      </c>
      <c r="E6" s="25"/>
      <c r="F6" s="24"/>
      <c r="G6" s="24"/>
      <c r="H6" s="1"/>
      <c r="I6" s="1"/>
      <c r="J6" s="29">
        <v>39639</v>
      </c>
      <c r="K6" s="1"/>
      <c r="L6" s="27"/>
      <c r="M6" s="27">
        <v>5</v>
      </c>
      <c r="N6" s="1"/>
      <c r="O6" s="29">
        <v>40014</v>
      </c>
      <c r="P6" s="28"/>
    </row>
    <row r="7" ht="26" spans="1:17">
      <c r="A7" s="22"/>
      <c r="B7" s="1">
        <v>6</v>
      </c>
      <c r="C7" s="24" t="s">
        <v>296</v>
      </c>
      <c r="D7" s="24" t="s">
        <v>297</v>
      </c>
      <c r="E7" s="25"/>
      <c r="F7" s="24"/>
      <c r="G7" s="24"/>
      <c r="H7" s="1"/>
      <c r="I7" s="1"/>
      <c r="J7" s="29">
        <v>39927</v>
      </c>
      <c r="K7" s="1"/>
      <c r="L7" s="27"/>
      <c r="M7" s="27">
        <v>60</v>
      </c>
      <c r="N7" s="1">
        <v>60</v>
      </c>
      <c r="O7" s="29">
        <v>40014</v>
      </c>
      <c r="P7" s="28"/>
    </row>
    <row r="8" ht="26" spans="1:17">
      <c r="A8" s="22"/>
      <c r="B8" s="1">
        <v>7</v>
      </c>
      <c r="C8" s="24" t="s">
        <v>298</v>
      </c>
      <c r="D8" s="24" t="s">
        <v>299</v>
      </c>
      <c r="E8" s="25"/>
      <c r="F8" s="24"/>
      <c r="G8" s="24"/>
      <c r="H8" s="1"/>
      <c r="I8" s="1"/>
      <c r="J8" s="29">
        <v>39845</v>
      </c>
      <c r="K8" s="1">
        <v>15</v>
      </c>
      <c r="L8" s="27">
        <v>2009</v>
      </c>
      <c r="M8" s="27">
        <v>45</v>
      </c>
      <c r="N8" s="1"/>
      <c r="O8" s="29">
        <v>40084</v>
      </c>
      <c r="P8" s="28"/>
    </row>
    <row r="9" spans="1:17">
      <c r="A9" s="22"/>
      <c r="B9" s="1">
        <v>8</v>
      </c>
      <c r="C9" s="24" t="s">
        <v>300</v>
      </c>
      <c r="D9" s="24" t="s">
        <v>299</v>
      </c>
      <c r="E9" s="25"/>
      <c r="F9" s="24"/>
      <c r="G9" s="24"/>
      <c r="H9" s="1"/>
      <c r="I9" s="1"/>
      <c r="J9" s="29">
        <v>39974</v>
      </c>
      <c r="K9" s="1">
        <v>15</v>
      </c>
      <c r="L9" s="27">
        <v>2009</v>
      </c>
      <c r="M9" s="27">
        <v>45</v>
      </c>
      <c r="N9" s="1"/>
      <c r="O9" s="29">
        <v>40084</v>
      </c>
      <c r="P9" s="28"/>
    </row>
    <row r="10" spans="1:17">
      <c r="A10" s="22"/>
      <c r="B10" s="1">
        <v>9</v>
      </c>
      <c r="C10" s="24" t="s">
        <v>301</v>
      </c>
      <c r="D10" s="24" t="s">
        <v>302</v>
      </c>
      <c r="E10" s="25"/>
      <c r="F10" s="24"/>
      <c r="G10" s="24"/>
      <c r="H10" s="1"/>
      <c r="I10" s="1"/>
      <c r="J10" s="29">
        <v>39982</v>
      </c>
      <c r="K10" s="28">
        <v>14.2</v>
      </c>
      <c r="L10" s="27">
        <v>2009</v>
      </c>
      <c r="M10" s="27">
        <v>43</v>
      </c>
      <c r="N10" s="1"/>
      <c r="O10" s="29">
        <v>40084</v>
      </c>
      <c r="P10" s="28"/>
    </row>
    <row r="11" spans="1:17">
      <c r="A11" s="22"/>
      <c r="B11" s="1">
        <v>10</v>
      </c>
      <c r="C11" s="24" t="s">
        <v>303</v>
      </c>
      <c r="D11" s="24" t="s">
        <v>299</v>
      </c>
      <c r="E11" s="25"/>
      <c r="F11" s="24"/>
      <c r="G11" s="24"/>
      <c r="H11" s="1"/>
      <c r="I11" s="1"/>
      <c r="J11" s="29">
        <v>39904</v>
      </c>
      <c r="K11" s="28">
        <v>19.64</v>
      </c>
      <c r="L11" s="27">
        <v>2009</v>
      </c>
      <c r="M11" s="27">
        <v>59</v>
      </c>
      <c r="N11" s="1"/>
      <c r="O11" s="29">
        <v>40136</v>
      </c>
      <c r="P11" s="28"/>
    </row>
    <row r="12" spans="1:17">
      <c r="A12" s="22"/>
      <c r="B12" s="1">
        <v>11</v>
      </c>
      <c r="C12" s="24" t="s">
        <v>304</v>
      </c>
      <c r="D12" s="24" t="s">
        <v>299</v>
      </c>
      <c r="E12" s="25"/>
      <c r="F12" s="24"/>
      <c r="G12" s="24"/>
      <c r="H12" s="1"/>
      <c r="I12" s="1"/>
      <c r="J12" s="29">
        <v>39904</v>
      </c>
      <c r="K12" s="28">
        <v>20.1</v>
      </c>
      <c r="L12" s="27">
        <v>2009</v>
      </c>
      <c r="M12" s="27">
        <v>61</v>
      </c>
      <c r="N12" s="1"/>
      <c r="O12" s="29">
        <v>40136</v>
      </c>
      <c r="P12" s="28"/>
    </row>
    <row r="13" spans="1:17">
      <c r="A13" s="22"/>
      <c r="B13" s="1">
        <v>12</v>
      </c>
      <c r="C13" s="24" t="s">
        <v>305</v>
      </c>
      <c r="D13" s="24" t="s">
        <v>299</v>
      </c>
      <c r="E13" s="25"/>
      <c r="F13" s="24"/>
      <c r="G13" s="24"/>
      <c r="H13" s="1"/>
      <c r="I13" s="1"/>
      <c r="J13" s="29">
        <v>39904</v>
      </c>
      <c r="K13" s="28">
        <v>19.4</v>
      </c>
      <c r="L13" s="27">
        <v>2009</v>
      </c>
      <c r="M13" s="27">
        <v>59</v>
      </c>
      <c r="N13" s="1"/>
      <c r="O13" s="29">
        <v>40136</v>
      </c>
      <c r="P13" s="28"/>
    </row>
    <row r="14" spans="1:17">
      <c r="A14" s="22"/>
      <c r="B14" s="1">
        <v>13</v>
      </c>
      <c r="C14" s="24" t="s">
        <v>306</v>
      </c>
      <c r="D14" s="24" t="s">
        <v>299</v>
      </c>
      <c r="E14" s="25"/>
      <c r="F14" s="24"/>
      <c r="G14" s="24"/>
      <c r="H14" s="1"/>
      <c r="I14" s="1"/>
      <c r="J14" s="29">
        <v>39904</v>
      </c>
      <c r="K14" s="28">
        <v>22.99</v>
      </c>
      <c r="L14" s="27">
        <v>2009</v>
      </c>
      <c r="M14" s="27">
        <v>69</v>
      </c>
      <c r="N14" s="1"/>
      <c r="O14" s="29">
        <v>40136</v>
      </c>
      <c r="P14" s="28"/>
    </row>
    <row r="15" ht="26" spans="1:17">
      <c r="A15" s="22"/>
      <c r="B15" s="1">
        <v>14</v>
      </c>
      <c r="C15" s="24" t="s">
        <v>307</v>
      </c>
      <c r="D15" s="24" t="s">
        <v>308</v>
      </c>
      <c r="E15" s="25"/>
      <c r="F15" s="24"/>
      <c r="G15" s="24"/>
      <c r="H15" s="1"/>
      <c r="I15" s="1"/>
      <c r="J15" s="29">
        <v>39665</v>
      </c>
      <c r="K15" s="28">
        <v>29</v>
      </c>
      <c r="L15" s="27">
        <v>2010</v>
      </c>
      <c r="M15" s="27">
        <v>106</v>
      </c>
      <c r="N15" s="1"/>
      <c r="O15" s="29">
        <v>40168</v>
      </c>
      <c r="P15" s="28"/>
    </row>
    <row r="16" ht="26" spans="1:17">
      <c r="A16" s="22"/>
      <c r="B16" s="1">
        <v>15</v>
      </c>
      <c r="C16" s="24" t="s">
        <v>309</v>
      </c>
      <c r="D16" s="30" t="s">
        <v>308</v>
      </c>
      <c r="E16" s="31"/>
      <c r="F16" s="30"/>
      <c r="G16" s="30"/>
      <c r="H16" s="32"/>
      <c r="I16" s="32"/>
      <c r="J16" s="29">
        <v>39681</v>
      </c>
      <c r="K16" s="28">
        <v>29</v>
      </c>
      <c r="L16" s="27">
        <v>2010</v>
      </c>
      <c r="M16" s="27">
        <v>87</v>
      </c>
      <c r="N16" s="1"/>
      <c r="O16" s="29">
        <v>40168</v>
      </c>
      <c r="P16" s="28"/>
    </row>
    <row r="17" ht="26" spans="1:16">
      <c r="A17" s="22"/>
      <c r="B17" s="1">
        <v>16</v>
      </c>
      <c r="C17" s="33" t="s">
        <v>310</v>
      </c>
      <c r="D17" s="24" t="s">
        <v>311</v>
      </c>
      <c r="E17" s="25"/>
      <c r="F17" s="24"/>
      <c r="G17" s="24"/>
      <c r="H17" s="1"/>
      <c r="I17" s="1"/>
      <c r="J17" s="29">
        <v>40164</v>
      </c>
      <c r="K17" s="1">
        <v>203.056</v>
      </c>
      <c r="L17" s="27">
        <v>2010</v>
      </c>
      <c r="M17" s="27">
        <v>610</v>
      </c>
      <c r="N17" s="1"/>
      <c r="O17" s="29">
        <v>40183</v>
      </c>
      <c r="P17" s="28"/>
    </row>
    <row r="18" ht="26" spans="1:16">
      <c r="A18" s="22"/>
      <c r="B18" s="1">
        <v>17</v>
      </c>
      <c r="C18" s="24" t="s">
        <v>263</v>
      </c>
      <c r="D18" s="24" t="s">
        <v>312</v>
      </c>
      <c r="E18" s="25"/>
      <c r="F18" s="24"/>
      <c r="G18" s="24"/>
      <c r="H18" s="1"/>
      <c r="I18" s="1"/>
      <c r="J18" s="29">
        <v>39792</v>
      </c>
      <c r="K18" s="28">
        <v>15</v>
      </c>
      <c r="L18" s="27">
        <v>2010</v>
      </c>
      <c r="M18" s="27">
        <v>45</v>
      </c>
      <c r="N18" s="1"/>
      <c r="O18" s="29">
        <v>40167</v>
      </c>
      <c r="P18" s="28"/>
    </row>
    <row r="19" ht="26" spans="1:16">
      <c r="A19" s="22"/>
      <c r="B19" s="1">
        <v>18</v>
      </c>
      <c r="C19" s="24" t="s">
        <v>313</v>
      </c>
      <c r="D19" s="24" t="s">
        <v>312</v>
      </c>
      <c r="E19" s="25"/>
      <c r="F19" s="24"/>
      <c r="G19" s="24"/>
      <c r="H19" s="1"/>
      <c r="I19" s="1"/>
      <c r="J19" s="29">
        <v>39792</v>
      </c>
      <c r="K19" s="28">
        <v>11</v>
      </c>
      <c r="L19" s="27">
        <v>2010</v>
      </c>
      <c r="M19" s="27">
        <v>45</v>
      </c>
      <c r="N19" s="1"/>
      <c r="O19" s="29">
        <v>40167</v>
      </c>
      <c r="P19" s="28"/>
    </row>
    <row r="20" ht="26" spans="1:16">
      <c r="A20" s="22"/>
      <c r="B20" s="1">
        <v>19</v>
      </c>
      <c r="C20" s="24" t="s">
        <v>264</v>
      </c>
      <c r="D20" s="24" t="s">
        <v>312</v>
      </c>
      <c r="E20" s="25"/>
      <c r="F20" s="24"/>
      <c r="G20" s="24"/>
      <c r="H20" s="1"/>
      <c r="I20" s="1"/>
      <c r="J20" s="29">
        <v>39792</v>
      </c>
      <c r="K20" s="28">
        <v>15</v>
      </c>
      <c r="L20" s="27">
        <v>2010</v>
      </c>
      <c r="M20" s="27">
        <v>45</v>
      </c>
      <c r="N20" s="1"/>
      <c r="O20" s="29">
        <v>40167</v>
      </c>
      <c r="P20" s="28"/>
    </row>
    <row r="21" spans="1:16">
      <c r="A21" s="22"/>
      <c r="B21" s="1">
        <v>20</v>
      </c>
      <c r="C21" s="24" t="s">
        <v>314</v>
      </c>
      <c r="D21" s="30" t="s">
        <v>315</v>
      </c>
      <c r="E21" s="31"/>
      <c r="F21" s="30"/>
      <c r="G21" s="30"/>
      <c r="H21" s="32"/>
      <c r="I21" s="32"/>
      <c r="J21" s="29">
        <v>40004</v>
      </c>
      <c r="K21" s="1"/>
      <c r="L21" s="27">
        <v>2009</v>
      </c>
      <c r="M21" s="27">
        <v>45</v>
      </c>
      <c r="N21" s="1"/>
      <c r="O21" s="29">
        <v>40203</v>
      </c>
      <c r="P21" s="28"/>
    </row>
    <row r="22" ht="52" spans="1:16">
      <c r="A22" s="22"/>
      <c r="B22" s="1">
        <v>21</v>
      </c>
      <c r="C22" s="24" t="s">
        <v>316</v>
      </c>
      <c r="D22" s="24" t="s">
        <v>317</v>
      </c>
      <c r="E22" s="25"/>
      <c r="F22" s="24"/>
      <c r="G22" s="24"/>
      <c r="H22" s="1"/>
      <c r="I22" s="1"/>
      <c r="J22" s="29">
        <v>39614</v>
      </c>
      <c r="K22" s="28">
        <v>34</v>
      </c>
      <c r="L22" s="27">
        <v>2010</v>
      </c>
      <c r="M22" s="27">
        <v>102</v>
      </c>
      <c r="N22" s="1"/>
      <c r="O22" s="29">
        <v>40203</v>
      </c>
      <c r="P22" s="28"/>
    </row>
    <row r="23" ht="26" spans="1:16">
      <c r="A23" s="22"/>
      <c r="B23" s="1">
        <v>22</v>
      </c>
      <c r="C23" s="24" t="s">
        <v>318</v>
      </c>
      <c r="D23" s="24" t="s">
        <v>317</v>
      </c>
      <c r="E23" s="25"/>
      <c r="F23" s="24"/>
      <c r="G23" s="24"/>
      <c r="H23" s="1"/>
      <c r="I23" s="1"/>
      <c r="J23" s="29">
        <v>39595</v>
      </c>
      <c r="K23" s="28">
        <v>23</v>
      </c>
      <c r="L23" s="27">
        <v>2010</v>
      </c>
      <c r="M23" s="27">
        <v>240</v>
      </c>
      <c r="N23" s="1"/>
      <c r="O23" s="29">
        <v>40203</v>
      </c>
      <c r="P23" s="28"/>
    </row>
    <row r="24" spans="1:16">
      <c r="A24" s="22"/>
      <c r="B24" s="1">
        <v>23</v>
      </c>
      <c r="C24" s="33" t="s">
        <v>319</v>
      </c>
      <c r="D24" s="24" t="s">
        <v>320</v>
      </c>
      <c r="E24" s="25"/>
      <c r="F24" s="24"/>
      <c r="G24" s="24"/>
      <c r="H24" s="1"/>
      <c r="I24" s="1"/>
      <c r="J24" s="29">
        <v>39918</v>
      </c>
      <c r="K24" s="1">
        <v>73</v>
      </c>
      <c r="L24" s="27">
        <v>2010</v>
      </c>
      <c r="M24" s="27">
        <v>219</v>
      </c>
      <c r="N24" s="1"/>
      <c r="O24" s="29">
        <v>40204</v>
      </c>
      <c r="P24" s="28"/>
    </row>
    <row r="25" ht="26" spans="1:16">
      <c r="A25" s="22"/>
      <c r="B25" s="1">
        <v>24</v>
      </c>
      <c r="C25" s="24" t="s">
        <v>321</v>
      </c>
      <c r="D25" s="24" t="s">
        <v>322</v>
      </c>
      <c r="E25" s="25"/>
      <c r="F25" s="24"/>
      <c r="G25" s="24"/>
      <c r="H25" s="1"/>
      <c r="I25" s="1"/>
      <c r="J25" s="29">
        <v>39924</v>
      </c>
      <c r="K25" s="28">
        <v>56.6</v>
      </c>
      <c r="L25" s="27">
        <v>2010</v>
      </c>
      <c r="M25" s="27">
        <v>170</v>
      </c>
      <c r="N25" s="1"/>
      <c r="O25" s="29">
        <v>40204</v>
      </c>
      <c r="P25" s="28"/>
    </row>
    <row r="26" spans="1:16">
      <c r="A26" s="22"/>
      <c r="B26" s="1">
        <v>25</v>
      </c>
      <c r="C26" s="24" t="s">
        <v>323</v>
      </c>
      <c r="D26" s="24" t="s">
        <v>324</v>
      </c>
      <c r="E26" s="25"/>
      <c r="F26" s="24"/>
      <c r="G26" s="24"/>
      <c r="H26" s="1"/>
      <c r="I26" s="1"/>
      <c r="J26" s="29">
        <v>40133</v>
      </c>
      <c r="K26" s="1">
        <v>1.5</v>
      </c>
      <c r="L26" s="27">
        <v>2010</v>
      </c>
      <c r="M26" s="27">
        <v>120</v>
      </c>
      <c r="N26" s="1"/>
      <c r="O26" s="29">
        <v>40210</v>
      </c>
      <c r="P26" s="28"/>
    </row>
    <row r="27" ht="26" spans="1:16">
      <c r="A27" s="22"/>
      <c r="B27" s="1">
        <v>26</v>
      </c>
      <c r="C27" s="24" t="s">
        <v>325</v>
      </c>
      <c r="D27" s="24" t="s">
        <v>322</v>
      </c>
      <c r="E27" s="25"/>
      <c r="F27" s="24"/>
      <c r="G27" s="24"/>
      <c r="H27" s="1"/>
      <c r="I27" s="1"/>
      <c r="J27" s="29">
        <v>40056</v>
      </c>
      <c r="K27" s="1">
        <v>49.8</v>
      </c>
      <c r="L27" s="27">
        <v>2010</v>
      </c>
      <c r="M27" s="27">
        <v>780</v>
      </c>
      <c r="N27" s="1"/>
      <c r="O27" s="29">
        <v>40210</v>
      </c>
      <c r="P27" s="28"/>
    </row>
    <row r="28" ht="26" spans="1:16">
      <c r="A28" s="22"/>
      <c r="B28" s="1">
        <v>27</v>
      </c>
      <c r="C28" s="24" t="s">
        <v>326</v>
      </c>
      <c r="D28" s="24" t="s">
        <v>322</v>
      </c>
      <c r="E28" s="25"/>
      <c r="F28" s="24"/>
      <c r="G28" s="24"/>
      <c r="H28" s="1"/>
      <c r="I28" s="1"/>
      <c r="J28" s="29">
        <v>40072</v>
      </c>
      <c r="K28" s="1">
        <v>52.6</v>
      </c>
      <c r="L28" s="27">
        <v>2010</v>
      </c>
      <c r="M28" s="27">
        <v>158</v>
      </c>
      <c r="N28" s="1"/>
      <c r="O28" s="29">
        <v>40210</v>
      </c>
      <c r="P28" s="28"/>
    </row>
    <row r="29" spans="1:16">
      <c r="A29" s="22"/>
      <c r="B29" s="1">
        <v>28</v>
      </c>
      <c r="C29" s="33" t="s">
        <v>327</v>
      </c>
      <c r="D29" s="24" t="s">
        <v>328</v>
      </c>
      <c r="E29" s="25"/>
      <c r="F29" s="24"/>
      <c r="G29" s="24"/>
      <c r="H29" s="1"/>
      <c r="I29" s="1"/>
      <c r="J29" s="29">
        <v>39896</v>
      </c>
      <c r="K29" s="1">
        <v>30</v>
      </c>
      <c r="L29" s="27">
        <v>2010</v>
      </c>
      <c r="M29" s="27">
        <v>90</v>
      </c>
      <c r="N29" s="1"/>
      <c r="O29" s="29">
        <v>40247</v>
      </c>
      <c r="P29" s="28"/>
    </row>
    <row r="30" spans="1:16">
      <c r="A30" s="22"/>
      <c r="B30" s="1">
        <v>29</v>
      </c>
      <c r="C30" s="33" t="s">
        <v>329</v>
      </c>
      <c r="D30" s="24" t="s">
        <v>330</v>
      </c>
      <c r="E30" s="25"/>
      <c r="F30" s="24"/>
      <c r="G30" s="24"/>
      <c r="H30" s="1"/>
      <c r="I30" s="1"/>
      <c r="J30" s="29">
        <v>39937</v>
      </c>
      <c r="K30" s="1">
        <v>28</v>
      </c>
      <c r="L30" s="27">
        <v>2010</v>
      </c>
      <c r="M30" s="27">
        <v>84</v>
      </c>
      <c r="N30" s="1"/>
      <c r="O30" s="29">
        <v>40247</v>
      </c>
      <c r="P30" s="28"/>
    </row>
    <row r="31" spans="1:16">
      <c r="A31" s="22"/>
      <c r="B31" s="1">
        <v>30</v>
      </c>
      <c r="C31" s="24" t="s">
        <v>331</v>
      </c>
      <c r="D31" s="24" t="s">
        <v>332</v>
      </c>
      <c r="E31" s="25"/>
      <c r="F31" s="24"/>
      <c r="G31" s="24"/>
      <c r="H31" s="1"/>
      <c r="I31" s="1"/>
      <c r="J31" s="29">
        <v>39942</v>
      </c>
      <c r="K31" s="1">
        <v>35</v>
      </c>
      <c r="L31" s="27">
        <v>2010</v>
      </c>
      <c r="M31" s="27">
        <v>105</v>
      </c>
      <c r="N31" s="1"/>
      <c r="O31" s="29">
        <v>40247</v>
      </c>
      <c r="P31" s="28"/>
    </row>
    <row r="32" spans="1:16">
      <c r="A32" s="22"/>
      <c r="B32" s="1">
        <v>31</v>
      </c>
      <c r="C32" s="33" t="s">
        <v>333</v>
      </c>
      <c r="D32" s="24" t="s">
        <v>330</v>
      </c>
      <c r="E32" s="25"/>
      <c r="F32" s="24"/>
      <c r="G32" s="24"/>
      <c r="H32" s="1"/>
      <c r="I32" s="1"/>
      <c r="J32" s="29">
        <v>40102</v>
      </c>
      <c r="K32" s="1">
        <v>8</v>
      </c>
      <c r="L32" s="27">
        <v>2010</v>
      </c>
      <c r="M32" s="27">
        <v>24</v>
      </c>
      <c r="N32" s="1"/>
      <c r="O32" s="29">
        <v>40247</v>
      </c>
      <c r="P32" s="28"/>
    </row>
    <row r="33" ht="25.2" customHeight="1" spans="1:17">
      <c r="A33" s="22"/>
      <c r="B33" s="1">
        <v>32</v>
      </c>
      <c r="C33" s="24" t="s">
        <v>334</v>
      </c>
      <c r="D33" s="24" t="s">
        <v>335</v>
      </c>
      <c r="E33" s="25"/>
      <c r="F33" s="24">
        <v>1</v>
      </c>
      <c r="G33" s="24"/>
      <c r="H33" s="1"/>
      <c r="I33" s="1"/>
      <c r="J33" s="29">
        <v>40186</v>
      </c>
      <c r="K33" s="1">
        <v>11</v>
      </c>
      <c r="L33" s="27">
        <v>2010</v>
      </c>
      <c r="M33" s="27">
        <v>33</v>
      </c>
      <c r="N33" s="1"/>
      <c r="O33" s="29">
        <v>40247</v>
      </c>
      <c r="P33" s="28"/>
    </row>
    <row r="34" ht="26" spans="1:17">
      <c r="A34" s="22"/>
      <c r="B34" s="1">
        <v>33</v>
      </c>
      <c r="C34" s="24" t="s">
        <v>336</v>
      </c>
      <c r="D34" s="24" t="s">
        <v>308</v>
      </c>
      <c r="E34" s="25"/>
      <c r="F34" s="24"/>
      <c r="G34" s="24"/>
      <c r="H34" s="1"/>
      <c r="I34" s="1"/>
      <c r="J34" s="29">
        <v>39825</v>
      </c>
      <c r="K34" s="1">
        <v>22</v>
      </c>
      <c r="L34" s="27">
        <v>2010</v>
      </c>
      <c r="M34" s="27">
        <v>66</v>
      </c>
      <c r="N34" s="1"/>
      <c r="O34" s="29">
        <v>40289</v>
      </c>
      <c r="P34" s="28"/>
    </row>
    <row r="35" ht="26" spans="1:17">
      <c r="A35" s="22"/>
      <c r="B35" s="1">
        <v>34</v>
      </c>
      <c r="C35" s="24" t="s">
        <v>337</v>
      </c>
      <c r="D35" s="24" t="s">
        <v>338</v>
      </c>
      <c r="E35" s="25"/>
      <c r="F35" s="14" t="s">
        <v>339</v>
      </c>
      <c r="G35" s="14"/>
      <c r="H35" s="23"/>
      <c r="I35" s="23"/>
      <c r="J35" s="29">
        <v>40186</v>
      </c>
      <c r="K35" s="13">
        <v>13.35</v>
      </c>
      <c r="L35" s="27">
        <v>2012</v>
      </c>
      <c r="M35" s="27">
        <v>165</v>
      </c>
      <c r="N35" s="23">
        <v>165</v>
      </c>
      <c r="O35" s="29">
        <v>40422</v>
      </c>
      <c r="P35" s="28"/>
    </row>
    <row r="36" ht="26" spans="1:17">
      <c r="A36" s="22"/>
      <c r="B36" s="1">
        <v>35</v>
      </c>
      <c r="C36" s="24" t="s">
        <v>340</v>
      </c>
      <c r="D36" s="24" t="s">
        <v>341</v>
      </c>
      <c r="E36" s="25"/>
      <c r="F36" s="24"/>
      <c r="G36" s="24"/>
      <c r="H36" s="1"/>
      <c r="I36" s="1"/>
      <c r="J36" s="29">
        <v>39870</v>
      </c>
      <c r="K36" s="1"/>
      <c r="L36" s="27"/>
      <c r="M36" s="27">
        <v>333</v>
      </c>
      <c r="N36" s="1"/>
      <c r="O36" s="29">
        <v>40428</v>
      </c>
      <c r="P36" s="28"/>
    </row>
    <row r="37" ht="26" spans="1:17">
      <c r="A37" s="22"/>
      <c r="B37" s="1">
        <v>36</v>
      </c>
      <c r="C37" s="24" t="s">
        <v>342</v>
      </c>
      <c r="D37" s="24" t="s">
        <v>341</v>
      </c>
      <c r="E37" s="25"/>
      <c r="F37" s="24"/>
      <c r="G37" s="24"/>
      <c r="H37" s="1"/>
      <c r="I37" s="1"/>
      <c r="J37" s="29">
        <v>39874</v>
      </c>
      <c r="K37" s="1">
        <v>9.98</v>
      </c>
      <c r="L37" s="27">
        <v>2010</v>
      </c>
      <c r="M37" s="27">
        <v>30</v>
      </c>
      <c r="N37" s="1"/>
      <c r="O37" s="29">
        <v>40428</v>
      </c>
      <c r="P37" s="28"/>
    </row>
    <row r="38" ht="26" spans="1:17">
      <c r="A38" s="22"/>
      <c r="B38" s="1">
        <v>37</v>
      </c>
      <c r="C38" s="24" t="s">
        <v>343</v>
      </c>
      <c r="D38" s="24" t="s">
        <v>341</v>
      </c>
      <c r="E38" s="25"/>
      <c r="F38" s="24"/>
      <c r="G38" s="24"/>
      <c r="H38" s="1"/>
      <c r="I38" s="1"/>
      <c r="J38" s="29">
        <v>39940</v>
      </c>
      <c r="K38" s="1">
        <v>5</v>
      </c>
      <c r="L38" s="27">
        <v>2010</v>
      </c>
      <c r="M38" s="27">
        <v>15</v>
      </c>
      <c r="N38" s="1"/>
      <c r="O38" s="29">
        <v>40428</v>
      </c>
      <c r="P38" s="28"/>
    </row>
    <row r="39" ht="39" spans="1:17">
      <c r="A39" s="22"/>
      <c r="B39" s="1">
        <v>38</v>
      </c>
      <c r="C39" s="34" t="s">
        <v>344</v>
      </c>
      <c r="D39" s="24" t="s">
        <v>345</v>
      </c>
      <c r="E39" s="25"/>
      <c r="F39" s="24"/>
      <c r="G39" s="24"/>
      <c r="H39" s="20"/>
      <c r="I39" s="20"/>
      <c r="J39" s="29">
        <v>39825</v>
      </c>
      <c r="K39" s="20">
        <v>11.0174</v>
      </c>
      <c r="L39" s="18">
        <v>2011</v>
      </c>
      <c r="M39" s="18">
        <v>33</v>
      </c>
      <c r="N39" s="32"/>
      <c r="O39" s="29">
        <v>40428</v>
      </c>
      <c r="P39" s="35" t="s">
        <v>285</v>
      </c>
    </row>
    <row r="40" ht="39" spans="1:17">
      <c r="A40" s="22"/>
      <c r="B40" s="1">
        <v>39</v>
      </c>
      <c r="C40" s="34" t="s">
        <v>346</v>
      </c>
      <c r="D40" s="24" t="s">
        <v>347</v>
      </c>
      <c r="E40" s="25"/>
      <c r="F40" s="24"/>
      <c r="G40" s="24"/>
      <c r="H40" s="20"/>
      <c r="I40" s="20"/>
      <c r="J40" s="29">
        <v>39825</v>
      </c>
      <c r="K40" s="20"/>
      <c r="L40" s="18"/>
      <c r="M40" s="18"/>
      <c r="N40" s="32"/>
      <c r="O40" s="29">
        <v>40428</v>
      </c>
      <c r="P40" s="35" t="s">
        <v>285</v>
      </c>
    </row>
    <row r="41" ht="39" spans="1:17">
      <c r="A41" s="22"/>
      <c r="B41" s="1">
        <v>40</v>
      </c>
      <c r="C41" s="34" t="s">
        <v>348</v>
      </c>
      <c r="D41" s="24" t="s">
        <v>349</v>
      </c>
      <c r="E41" s="25"/>
      <c r="F41" s="24"/>
      <c r="G41" s="24"/>
      <c r="H41" s="20"/>
      <c r="I41" s="20"/>
      <c r="J41" s="29">
        <v>39825</v>
      </c>
      <c r="K41" s="20"/>
      <c r="L41" s="18"/>
      <c r="M41" s="18"/>
      <c r="N41" s="32"/>
      <c r="O41" s="29">
        <v>40428</v>
      </c>
      <c r="P41" s="35" t="s">
        <v>285</v>
      </c>
    </row>
    <row r="42" spans="1:17">
      <c r="A42" s="22"/>
      <c r="B42" s="1">
        <v>41</v>
      </c>
      <c r="C42" s="33" t="s">
        <v>350</v>
      </c>
      <c r="D42" s="24" t="s">
        <v>330</v>
      </c>
      <c r="E42" s="14"/>
      <c r="F42" s="24"/>
      <c r="G42" s="24"/>
      <c r="H42" s="1"/>
      <c r="I42" s="1"/>
      <c r="J42" s="29"/>
      <c r="K42" s="1">
        <v>23</v>
      </c>
      <c r="L42" s="27">
        <v>2010</v>
      </c>
      <c r="M42" s="27">
        <v>69</v>
      </c>
      <c r="N42" s="1"/>
      <c r="O42" s="29">
        <v>40431</v>
      </c>
      <c r="P42" s="28"/>
    </row>
    <row r="43" spans="1:17">
      <c r="A43" s="22"/>
      <c r="B43" s="1">
        <v>42</v>
      </c>
      <c r="C43" s="24" t="s">
        <v>351</v>
      </c>
      <c r="D43" s="24" t="s">
        <v>341</v>
      </c>
      <c r="E43" s="25"/>
      <c r="F43" s="24"/>
      <c r="G43" s="24"/>
      <c r="H43" s="1"/>
      <c r="I43" s="1"/>
      <c r="J43" s="29">
        <v>40028</v>
      </c>
      <c r="K43" s="1">
        <v>3.78</v>
      </c>
      <c r="L43" s="27">
        <v>2010</v>
      </c>
      <c r="M43" s="27">
        <v>12</v>
      </c>
      <c r="N43" s="1"/>
      <c r="O43" s="29">
        <v>40437</v>
      </c>
      <c r="P43" s="28"/>
    </row>
    <row r="44" ht="26" spans="1:17">
      <c r="A44" s="22"/>
      <c r="B44" s="1">
        <v>43</v>
      </c>
      <c r="C44" s="24" t="s">
        <v>352</v>
      </c>
      <c r="D44" s="24" t="s">
        <v>341</v>
      </c>
      <c r="E44" s="25"/>
      <c r="F44" s="24"/>
      <c r="G44" s="24"/>
      <c r="H44" s="1"/>
      <c r="I44" s="1"/>
      <c r="J44" s="29">
        <v>40129</v>
      </c>
      <c r="K44" s="1">
        <v>13.23</v>
      </c>
      <c r="L44" s="27">
        <v>2010</v>
      </c>
      <c r="M44" s="27">
        <v>40</v>
      </c>
      <c r="N44" s="1"/>
      <c r="O44" s="29">
        <v>40437</v>
      </c>
      <c r="P44" s="28"/>
    </row>
    <row r="45" ht="52" spans="1:17">
      <c r="A45" s="22"/>
      <c r="B45" s="1">
        <v>44</v>
      </c>
      <c r="C45" s="34" t="s">
        <v>353</v>
      </c>
      <c r="D45" s="24" t="s">
        <v>354</v>
      </c>
      <c r="E45" s="25"/>
      <c r="F45" s="14" t="s">
        <v>355</v>
      </c>
      <c r="G45" s="14"/>
      <c r="H45" s="23"/>
      <c r="I45" s="23"/>
      <c r="J45" s="29">
        <v>40400</v>
      </c>
      <c r="K45" s="1">
        <v>121.649</v>
      </c>
      <c r="L45" s="27">
        <v>2011</v>
      </c>
      <c r="M45" s="27">
        <v>365</v>
      </c>
      <c r="N45" s="23">
        <v>365</v>
      </c>
      <c r="O45" s="29">
        <v>40437</v>
      </c>
      <c r="P45" s="35" t="s">
        <v>285</v>
      </c>
    </row>
    <row r="46" ht="39" spans="1:17">
      <c r="A46" s="22"/>
      <c r="B46" s="1">
        <v>45</v>
      </c>
      <c r="C46" s="34" t="s">
        <v>356</v>
      </c>
      <c r="D46" s="24" t="s">
        <v>357</v>
      </c>
      <c r="E46" s="25"/>
      <c r="F46" s="14" t="s">
        <v>358</v>
      </c>
      <c r="G46" s="14"/>
      <c r="H46" s="23"/>
      <c r="I46" s="23"/>
      <c r="J46" s="29">
        <v>40238</v>
      </c>
      <c r="K46" s="1">
        <v>20</v>
      </c>
      <c r="L46" s="27">
        <v>2011</v>
      </c>
      <c r="M46" s="27">
        <v>60</v>
      </c>
      <c r="N46" s="36">
        <v>60</v>
      </c>
      <c r="O46" s="29">
        <v>40464</v>
      </c>
      <c r="P46" s="35" t="s">
        <v>285</v>
      </c>
    </row>
    <row r="47" spans="1:17">
      <c r="A47" s="22"/>
      <c r="B47" s="1">
        <v>46</v>
      </c>
      <c r="C47" s="33" t="s">
        <v>359</v>
      </c>
      <c r="D47" s="24" t="s">
        <v>360</v>
      </c>
      <c r="E47" s="25"/>
      <c r="F47" s="14" t="s">
        <v>361</v>
      </c>
      <c r="G47" s="14"/>
      <c r="H47" s="23"/>
      <c r="I47" s="23"/>
      <c r="J47" s="29">
        <v>40477</v>
      </c>
      <c r="K47" s="1">
        <v>40</v>
      </c>
      <c r="L47" s="27">
        <v>2011</v>
      </c>
      <c r="M47" s="27">
        <v>120</v>
      </c>
      <c r="N47" s="23">
        <v>120</v>
      </c>
      <c r="O47" s="29">
        <v>40533</v>
      </c>
      <c r="P47" s="35" t="s">
        <v>285</v>
      </c>
    </row>
    <row r="48" s="2" customFormat="1" ht="26" spans="1:17">
      <c r="A48" s="37">
        <v>5</v>
      </c>
      <c r="B48" s="23">
        <v>47</v>
      </c>
      <c r="C48" s="34" t="s">
        <v>362</v>
      </c>
      <c r="D48" s="24" t="s">
        <v>363</v>
      </c>
      <c r="E48" s="25"/>
      <c r="F48" s="24"/>
      <c r="G48" s="24"/>
      <c r="H48" s="1"/>
      <c r="I48" s="1"/>
      <c r="J48" s="26">
        <v>40098</v>
      </c>
      <c r="K48" s="23">
        <v>38</v>
      </c>
      <c r="L48" s="27">
        <v>2011</v>
      </c>
      <c r="M48" s="27">
        <v>114</v>
      </c>
      <c r="N48" s="32"/>
      <c r="O48" s="26">
        <v>40534</v>
      </c>
      <c r="P48" s="35" t="s">
        <v>285</v>
      </c>
      <c r="Q48" s="11"/>
    </row>
    <row r="49" s="2" customFormat="1" ht="26" spans="1:17">
      <c r="A49" s="37"/>
      <c r="B49" s="23">
        <v>48</v>
      </c>
      <c r="C49" s="34" t="s">
        <v>364</v>
      </c>
      <c r="D49" s="14" t="s">
        <v>338</v>
      </c>
      <c r="E49" s="25"/>
      <c r="F49" s="14" t="s">
        <v>365</v>
      </c>
      <c r="G49" s="14"/>
      <c r="H49" s="23"/>
      <c r="I49" s="23"/>
      <c r="J49" s="26">
        <v>40316</v>
      </c>
      <c r="K49" s="13">
        <v>23.7335</v>
      </c>
      <c r="L49" s="27">
        <v>2011</v>
      </c>
      <c r="M49" s="27">
        <v>71</v>
      </c>
      <c r="N49" s="23">
        <v>71</v>
      </c>
      <c r="O49" s="26"/>
      <c r="P49" s="35" t="s">
        <v>285</v>
      </c>
      <c r="Q49" s="11"/>
    </row>
    <row r="50" s="2" customFormat="1" ht="39" spans="1:17">
      <c r="A50" s="37"/>
      <c r="B50" s="23">
        <v>49</v>
      </c>
      <c r="C50" s="34" t="s">
        <v>366</v>
      </c>
      <c r="D50" s="24" t="s">
        <v>322</v>
      </c>
      <c r="E50" s="25"/>
      <c r="F50" s="14" t="s">
        <v>367</v>
      </c>
      <c r="G50" s="14"/>
      <c r="H50" s="23"/>
      <c r="I50" s="23"/>
      <c r="J50" s="26">
        <v>40472</v>
      </c>
      <c r="K50" s="23">
        <v>76.8399</v>
      </c>
      <c r="L50" s="27">
        <v>2011</v>
      </c>
      <c r="M50" s="27">
        <v>231</v>
      </c>
      <c r="N50" s="36">
        <v>231</v>
      </c>
      <c r="O50" s="23"/>
      <c r="P50" s="35" t="s">
        <v>285</v>
      </c>
      <c r="Q50" s="11"/>
    </row>
    <row r="51" s="2" customFormat="1" ht="26" spans="1:17">
      <c r="A51" s="37"/>
      <c r="B51" s="23">
        <v>50</v>
      </c>
      <c r="C51" s="34" t="s">
        <v>368</v>
      </c>
      <c r="D51" s="24" t="s">
        <v>322</v>
      </c>
      <c r="E51" s="25"/>
      <c r="F51" s="14" t="s">
        <v>367</v>
      </c>
      <c r="G51" s="14"/>
      <c r="H51" s="23"/>
      <c r="I51" s="23"/>
      <c r="J51" s="26">
        <v>40444</v>
      </c>
      <c r="K51" s="23">
        <v>72.056</v>
      </c>
      <c r="L51" s="27">
        <v>2011</v>
      </c>
      <c r="M51" s="27">
        <v>216</v>
      </c>
      <c r="N51" s="36">
        <v>216</v>
      </c>
      <c r="O51" s="23"/>
      <c r="P51" s="35" t="s">
        <v>285</v>
      </c>
      <c r="Q51" s="11"/>
    </row>
    <row r="52" s="2" customFormat="1" ht="26" spans="1:17">
      <c r="A52" s="37"/>
      <c r="B52" s="23">
        <v>51</v>
      </c>
      <c r="C52" s="34" t="s">
        <v>369</v>
      </c>
      <c r="D52" s="24" t="s">
        <v>322</v>
      </c>
      <c r="E52" s="25"/>
      <c r="F52" s="14" t="s">
        <v>367</v>
      </c>
      <c r="G52" s="14"/>
      <c r="H52" s="23"/>
      <c r="I52" s="23"/>
      <c r="J52" s="26">
        <v>40385</v>
      </c>
      <c r="K52" s="23">
        <v>57.647</v>
      </c>
      <c r="L52" s="27">
        <v>2011</v>
      </c>
      <c r="M52" s="27">
        <v>173</v>
      </c>
      <c r="N52" s="36">
        <v>173</v>
      </c>
      <c r="O52" s="23"/>
      <c r="P52" s="35" t="s">
        <v>285</v>
      </c>
      <c r="Q52" s="11"/>
    </row>
    <row r="53" s="2" customFormat="1" ht="26" spans="1:17">
      <c r="A53" s="37"/>
      <c r="B53" s="23">
        <v>52</v>
      </c>
      <c r="C53" s="34" t="s">
        <v>370</v>
      </c>
      <c r="D53" s="24" t="s">
        <v>322</v>
      </c>
      <c r="E53" s="25"/>
      <c r="F53" s="14" t="s">
        <v>371</v>
      </c>
      <c r="G53" s="14"/>
      <c r="H53" s="23"/>
      <c r="I53" s="23"/>
      <c r="J53" s="26">
        <v>40548</v>
      </c>
      <c r="K53" s="23">
        <v>20</v>
      </c>
      <c r="L53" s="27">
        <v>2011</v>
      </c>
      <c r="M53" s="27">
        <v>60</v>
      </c>
      <c r="N53" s="23">
        <v>60</v>
      </c>
      <c r="O53" s="26">
        <v>40679</v>
      </c>
      <c r="P53" s="35" t="s">
        <v>285</v>
      </c>
      <c r="Q53" s="11"/>
    </row>
    <row r="54" spans="1:17">
      <c r="A54" s="37"/>
      <c r="B54" s="1">
        <v>53</v>
      </c>
      <c r="C54" s="34" t="s">
        <v>372</v>
      </c>
      <c r="D54" s="24" t="s">
        <v>373</v>
      </c>
      <c r="E54" s="25"/>
      <c r="F54" s="14" t="s">
        <v>365</v>
      </c>
      <c r="G54" s="14"/>
      <c r="H54" s="23"/>
      <c r="I54" s="23"/>
      <c r="J54" s="29">
        <v>40471</v>
      </c>
      <c r="K54" s="1">
        <v>56</v>
      </c>
      <c r="L54" s="27">
        <v>2011</v>
      </c>
      <c r="M54" s="27">
        <v>168</v>
      </c>
      <c r="N54" s="23">
        <v>168</v>
      </c>
      <c r="O54" s="29">
        <v>40724</v>
      </c>
      <c r="P54" s="35" t="s">
        <v>285</v>
      </c>
    </row>
    <row r="55" spans="1:17">
      <c r="A55" s="37"/>
      <c r="B55" s="1">
        <v>54</v>
      </c>
      <c r="C55" s="14" t="s">
        <v>374</v>
      </c>
      <c r="D55" s="24"/>
      <c r="E55" s="25"/>
      <c r="F55" s="24">
        <v>1</v>
      </c>
      <c r="G55" s="24"/>
      <c r="H55" s="1"/>
      <c r="I55" s="1"/>
      <c r="J55" s="29">
        <v>40722</v>
      </c>
      <c r="K55" s="1"/>
      <c r="L55" s="27"/>
      <c r="M55" s="27">
        <v>5</v>
      </c>
      <c r="N55" s="1"/>
      <c r="O55" s="29">
        <v>40724</v>
      </c>
      <c r="P55" s="28"/>
    </row>
    <row r="56" ht="26" spans="1:17">
      <c r="A56" s="37"/>
      <c r="B56" s="1">
        <v>55</v>
      </c>
      <c r="C56" s="34" t="s">
        <v>375</v>
      </c>
      <c r="D56" s="24" t="s">
        <v>376</v>
      </c>
      <c r="E56" s="25"/>
      <c r="F56" s="14" t="s">
        <v>377</v>
      </c>
      <c r="G56" s="14"/>
      <c r="H56" s="23"/>
      <c r="I56" s="23"/>
      <c r="J56" s="29">
        <v>40219</v>
      </c>
      <c r="K56" s="1">
        <v>193.5836</v>
      </c>
      <c r="L56" s="27">
        <v>2011</v>
      </c>
      <c r="M56" s="27">
        <v>581</v>
      </c>
      <c r="N56" s="23">
        <v>581</v>
      </c>
      <c r="O56" s="29">
        <v>40806</v>
      </c>
      <c r="P56" s="35" t="s">
        <v>285</v>
      </c>
    </row>
    <row r="57" ht="26" spans="1:17">
      <c r="A57" s="37"/>
      <c r="B57" s="1">
        <v>56</v>
      </c>
      <c r="C57" s="34" t="s">
        <v>378</v>
      </c>
      <c r="D57" s="24" t="s">
        <v>379</v>
      </c>
      <c r="E57" s="14"/>
      <c r="F57" s="14" t="s">
        <v>365</v>
      </c>
      <c r="G57" s="14"/>
      <c r="H57" s="23"/>
      <c r="I57" s="23"/>
      <c r="J57" s="29"/>
      <c r="K57" s="1">
        <v>60.8</v>
      </c>
      <c r="L57" s="27">
        <v>2011</v>
      </c>
      <c r="M57" s="27">
        <v>182</v>
      </c>
      <c r="N57" s="23">
        <v>182</v>
      </c>
      <c r="O57" s="29">
        <v>40806</v>
      </c>
      <c r="P57" s="35" t="s">
        <v>285</v>
      </c>
    </row>
    <row r="58" ht="26" spans="1:17">
      <c r="A58" s="37"/>
      <c r="B58" s="1">
        <v>57</v>
      </c>
      <c r="C58" s="34" t="s">
        <v>380</v>
      </c>
      <c r="D58" s="24" t="s">
        <v>379</v>
      </c>
      <c r="E58" s="14"/>
      <c r="F58" s="14" t="s">
        <v>365</v>
      </c>
      <c r="G58" s="14"/>
      <c r="H58" s="23"/>
      <c r="I58" s="23"/>
      <c r="J58" s="29"/>
      <c r="K58" s="1">
        <v>26.6</v>
      </c>
      <c r="L58" s="27">
        <v>2011</v>
      </c>
      <c r="M58" s="27">
        <v>80</v>
      </c>
      <c r="N58" s="23">
        <v>80</v>
      </c>
      <c r="O58" s="29">
        <v>40806</v>
      </c>
      <c r="P58" s="35" t="s">
        <v>285</v>
      </c>
    </row>
    <row r="59" ht="26" spans="1:17">
      <c r="A59" s="37"/>
      <c r="B59" s="1">
        <v>58</v>
      </c>
      <c r="C59" s="34" t="s">
        <v>381</v>
      </c>
      <c r="D59" s="24" t="s">
        <v>382</v>
      </c>
      <c r="E59" s="25"/>
      <c r="F59" s="14" t="s">
        <v>365</v>
      </c>
      <c r="G59" s="14"/>
      <c r="H59" s="23"/>
      <c r="I59" s="23"/>
      <c r="J59" s="29">
        <v>40561</v>
      </c>
      <c r="K59" s="1">
        <v>32.2699</v>
      </c>
      <c r="L59" s="27">
        <v>2011</v>
      </c>
      <c r="M59" s="27">
        <v>97</v>
      </c>
      <c r="N59" s="23">
        <v>97</v>
      </c>
      <c r="O59" s="29">
        <v>40806</v>
      </c>
      <c r="P59" s="35" t="s">
        <v>285</v>
      </c>
    </row>
    <row r="60" ht="26" spans="1:17">
      <c r="A60" s="37"/>
      <c r="B60" s="1">
        <v>59</v>
      </c>
      <c r="C60" s="34" t="s">
        <v>383</v>
      </c>
      <c r="D60" s="24" t="s">
        <v>384</v>
      </c>
      <c r="E60" s="25"/>
      <c r="F60" s="14" t="s">
        <v>385</v>
      </c>
      <c r="G60" s="14"/>
      <c r="H60" s="23"/>
      <c r="I60" s="23"/>
      <c r="J60" s="29">
        <v>40792</v>
      </c>
      <c r="K60" s="1">
        <v>3</v>
      </c>
      <c r="L60" s="27">
        <v>2011</v>
      </c>
      <c r="M60" s="27">
        <v>9</v>
      </c>
      <c r="N60" s="36">
        <v>9</v>
      </c>
      <c r="O60" s="29">
        <v>40816</v>
      </c>
      <c r="P60" s="35" t="s">
        <v>285</v>
      </c>
    </row>
    <row r="61" spans="1:17">
      <c r="A61" s="37"/>
      <c r="B61" s="1">
        <v>60</v>
      </c>
      <c r="C61" s="34" t="s">
        <v>386</v>
      </c>
      <c r="D61" s="24" t="s">
        <v>387</v>
      </c>
      <c r="E61" s="25"/>
      <c r="F61" s="14" t="s">
        <v>365</v>
      </c>
      <c r="G61" s="14"/>
      <c r="H61" s="23"/>
      <c r="I61" s="23"/>
      <c r="J61" s="29">
        <v>40709</v>
      </c>
      <c r="K61" s="1">
        <v>7.5</v>
      </c>
      <c r="L61" s="27">
        <v>2011</v>
      </c>
      <c r="M61" s="27">
        <v>23</v>
      </c>
      <c r="N61" s="23">
        <v>23</v>
      </c>
      <c r="O61" s="29">
        <v>40816</v>
      </c>
      <c r="P61" s="35" t="s">
        <v>285</v>
      </c>
    </row>
    <row r="62" ht="26" spans="1:17">
      <c r="A62" s="37"/>
      <c r="B62" s="1">
        <v>61</v>
      </c>
      <c r="C62" s="34" t="s">
        <v>388</v>
      </c>
      <c r="D62" s="24" t="s">
        <v>389</v>
      </c>
      <c r="E62" s="25"/>
      <c r="F62" s="14" t="s">
        <v>377</v>
      </c>
      <c r="G62" s="14"/>
      <c r="H62" s="23"/>
      <c r="I62" s="23"/>
      <c r="J62" s="29">
        <v>40468</v>
      </c>
      <c r="K62" s="1">
        <v>187.12</v>
      </c>
      <c r="L62" s="27">
        <v>2011</v>
      </c>
      <c r="M62" s="27">
        <v>561</v>
      </c>
      <c r="N62" s="23">
        <v>561</v>
      </c>
      <c r="O62" s="29">
        <v>40833</v>
      </c>
      <c r="P62" s="35" t="s">
        <v>285</v>
      </c>
    </row>
    <row r="63" ht="26" spans="1:17">
      <c r="A63" s="37"/>
      <c r="B63" s="1">
        <v>62</v>
      </c>
      <c r="C63" s="24" t="s">
        <v>390</v>
      </c>
      <c r="D63" s="24" t="s">
        <v>389</v>
      </c>
      <c r="E63" s="25"/>
      <c r="F63" s="24" t="s">
        <v>367</v>
      </c>
      <c r="G63" s="24"/>
      <c r="H63" s="1"/>
      <c r="I63" s="1"/>
      <c r="J63" s="29">
        <v>41100</v>
      </c>
      <c r="K63" s="20" t="s">
        <v>391</v>
      </c>
      <c r="L63" s="18"/>
      <c r="M63" s="18"/>
      <c r="N63" s="20"/>
      <c r="O63" s="29">
        <v>40833</v>
      </c>
      <c r="P63" s="19"/>
    </row>
    <row r="64" ht="26" spans="1:17">
      <c r="A64" s="37"/>
      <c r="B64" s="1">
        <v>63</v>
      </c>
      <c r="C64" s="24" t="s">
        <v>392</v>
      </c>
      <c r="D64" s="24" t="s">
        <v>393</v>
      </c>
      <c r="E64" s="25"/>
      <c r="F64" s="24"/>
      <c r="G64" s="24"/>
      <c r="H64" s="1"/>
      <c r="I64" s="1"/>
      <c r="J64" s="29">
        <v>40066</v>
      </c>
      <c r="K64" s="1"/>
      <c r="L64" s="27"/>
      <c r="M64" s="27">
        <v>54</v>
      </c>
      <c r="N64" s="1"/>
      <c r="O64" s="29">
        <v>40861</v>
      </c>
      <c r="P64" s="28"/>
    </row>
    <row r="65" ht="26" spans="1:16">
      <c r="A65" s="37"/>
      <c r="B65" s="1">
        <v>64</v>
      </c>
      <c r="C65" s="24" t="s">
        <v>394</v>
      </c>
      <c r="D65" s="24" t="s">
        <v>393</v>
      </c>
      <c r="E65" s="25"/>
      <c r="F65" s="14" t="s">
        <v>395</v>
      </c>
      <c r="G65" s="14"/>
      <c r="H65" s="23"/>
      <c r="I65" s="23"/>
      <c r="J65" s="29">
        <v>40315</v>
      </c>
      <c r="K65" s="13">
        <v>48</v>
      </c>
      <c r="L65" s="27">
        <v>2012</v>
      </c>
      <c r="M65" s="27">
        <v>144</v>
      </c>
      <c r="N65" s="23">
        <v>144</v>
      </c>
      <c r="O65" s="29">
        <v>40861</v>
      </c>
      <c r="P65" s="28"/>
    </row>
    <row r="66" ht="26" spans="1:16">
      <c r="A66" s="37"/>
      <c r="B66" s="1">
        <v>65</v>
      </c>
      <c r="C66" s="34" t="s">
        <v>396</v>
      </c>
      <c r="D66" s="24" t="s">
        <v>397</v>
      </c>
      <c r="E66" s="25"/>
      <c r="F66" s="14" t="s">
        <v>377</v>
      </c>
      <c r="G66" s="14"/>
      <c r="H66" s="23"/>
      <c r="I66" s="23"/>
      <c r="J66" s="29">
        <v>40844</v>
      </c>
      <c r="K66" s="1">
        <v>214.526</v>
      </c>
      <c r="L66" s="27">
        <v>2011</v>
      </c>
      <c r="M66" s="27">
        <v>644</v>
      </c>
      <c r="N66" s="23">
        <v>644</v>
      </c>
      <c r="O66" s="29">
        <v>40861</v>
      </c>
      <c r="P66" s="35" t="s">
        <v>285</v>
      </c>
    </row>
    <row r="67" spans="1:16">
      <c r="A67" s="37"/>
      <c r="B67" s="1">
        <v>66</v>
      </c>
      <c r="C67" s="24" t="s">
        <v>398</v>
      </c>
      <c r="D67" s="24" t="s">
        <v>397</v>
      </c>
      <c r="E67" s="25"/>
      <c r="F67" s="24">
        <v>1</v>
      </c>
      <c r="G67" s="24"/>
      <c r="H67" s="1"/>
      <c r="I67" s="1"/>
      <c r="J67" s="29">
        <v>40841</v>
      </c>
      <c r="K67" s="1"/>
      <c r="L67" s="27"/>
      <c r="M67" s="27">
        <v>5</v>
      </c>
      <c r="N67" s="1"/>
      <c r="O67" s="29">
        <v>40861</v>
      </c>
      <c r="P67" s="28"/>
    </row>
    <row r="68" ht="26" spans="1:16">
      <c r="A68" s="37"/>
      <c r="B68" s="1">
        <v>67</v>
      </c>
      <c r="C68" s="24" t="s">
        <v>399</v>
      </c>
      <c r="D68" s="38" t="s">
        <v>299</v>
      </c>
      <c r="E68" s="39"/>
      <c r="F68" s="38"/>
      <c r="G68" s="38"/>
      <c r="H68" s="40"/>
      <c r="I68" s="40"/>
      <c r="J68" s="29">
        <v>39873</v>
      </c>
      <c r="K68" s="1">
        <v>20</v>
      </c>
      <c r="L68" s="41">
        <v>41244</v>
      </c>
      <c r="M68" s="27">
        <f t="shared" ref="M68:M84" si="0">ROUNDUP(K68*3,0)</f>
        <v>60</v>
      </c>
      <c r="N68" s="1"/>
      <c r="O68" s="29">
        <v>40906</v>
      </c>
      <c r="P68" s="28"/>
    </row>
    <row r="69" ht="26" spans="1:16">
      <c r="A69" s="37"/>
      <c r="B69" s="1">
        <v>68</v>
      </c>
      <c r="C69" s="24" t="s">
        <v>400</v>
      </c>
      <c r="D69" s="38" t="s">
        <v>363</v>
      </c>
      <c r="E69" s="39"/>
      <c r="F69" s="42" t="s">
        <v>401</v>
      </c>
      <c r="G69" s="42"/>
      <c r="H69" s="43"/>
      <c r="I69" s="43"/>
      <c r="J69" s="29">
        <v>40701</v>
      </c>
      <c r="K69" s="1">
        <v>6.81</v>
      </c>
      <c r="L69" s="41">
        <v>41245</v>
      </c>
      <c r="M69" s="27">
        <f t="shared" si="0"/>
        <v>21</v>
      </c>
      <c r="N69" s="23">
        <v>21</v>
      </c>
      <c r="O69" s="29">
        <v>40906</v>
      </c>
      <c r="P69" s="28"/>
    </row>
    <row r="70" ht="26" spans="1:16">
      <c r="A70" s="37"/>
      <c r="B70" s="1">
        <v>69</v>
      </c>
      <c r="C70" s="24" t="s">
        <v>402</v>
      </c>
      <c r="D70" s="38" t="s">
        <v>363</v>
      </c>
      <c r="E70" s="39"/>
      <c r="F70" s="42" t="s">
        <v>365</v>
      </c>
      <c r="G70" s="42"/>
      <c r="H70" s="43"/>
      <c r="I70" s="43"/>
      <c r="J70" s="29">
        <v>40507</v>
      </c>
      <c r="K70" s="1">
        <v>24.1</v>
      </c>
      <c r="L70" s="41">
        <v>41246</v>
      </c>
      <c r="M70" s="27">
        <f t="shared" si="0"/>
        <v>73</v>
      </c>
      <c r="N70" s="23">
        <v>73</v>
      </c>
      <c r="O70" s="29">
        <v>40906</v>
      </c>
      <c r="P70" s="28"/>
    </row>
    <row r="71" ht="26" spans="1:16">
      <c r="A71" s="37"/>
      <c r="B71" s="1">
        <v>70</v>
      </c>
      <c r="C71" s="14" t="s">
        <v>403</v>
      </c>
      <c r="D71" s="38" t="s">
        <v>363</v>
      </c>
      <c r="E71" s="39"/>
      <c r="F71" s="42" t="s">
        <v>401</v>
      </c>
      <c r="G71" s="42"/>
      <c r="H71" s="43"/>
      <c r="I71" s="43"/>
      <c r="J71" s="29">
        <v>40507</v>
      </c>
      <c r="K71" s="1">
        <v>29.61</v>
      </c>
      <c r="L71" s="41">
        <v>41247</v>
      </c>
      <c r="M71" s="27">
        <f t="shared" si="0"/>
        <v>89</v>
      </c>
      <c r="N71" s="23">
        <v>89</v>
      </c>
      <c r="O71" s="29">
        <v>40906</v>
      </c>
      <c r="P71" s="28"/>
    </row>
    <row r="72" ht="26" spans="1:16">
      <c r="A72" s="37"/>
      <c r="B72" s="1">
        <v>71</v>
      </c>
      <c r="C72" s="14" t="s">
        <v>404</v>
      </c>
      <c r="D72" s="38" t="s">
        <v>363</v>
      </c>
      <c r="E72" s="39"/>
      <c r="F72" s="42" t="s">
        <v>401</v>
      </c>
      <c r="G72" s="42"/>
      <c r="H72" s="43"/>
      <c r="I72" s="43"/>
      <c r="J72" s="29">
        <v>40507</v>
      </c>
      <c r="K72" s="1">
        <v>21.4</v>
      </c>
      <c r="L72" s="41">
        <v>41248</v>
      </c>
      <c r="M72" s="27">
        <f t="shared" si="0"/>
        <v>65</v>
      </c>
      <c r="N72" s="23">
        <v>65</v>
      </c>
      <c r="O72" s="29">
        <v>40906</v>
      </c>
      <c r="P72" s="28"/>
    </row>
    <row r="73" ht="26" spans="1:16">
      <c r="A73" s="37"/>
      <c r="B73" s="1">
        <v>72</v>
      </c>
      <c r="C73" s="14" t="s">
        <v>405</v>
      </c>
      <c r="D73" s="38" t="s">
        <v>341</v>
      </c>
      <c r="E73" s="39"/>
      <c r="F73" s="38"/>
      <c r="G73" s="38"/>
      <c r="H73" s="40"/>
      <c r="I73" s="40"/>
      <c r="J73" s="29">
        <v>40129</v>
      </c>
      <c r="K73" s="1">
        <v>4.6778</v>
      </c>
      <c r="L73" s="41">
        <v>41248</v>
      </c>
      <c r="M73" s="27">
        <f t="shared" si="0"/>
        <v>15</v>
      </c>
      <c r="N73" s="1"/>
      <c r="O73" s="29">
        <v>40952</v>
      </c>
      <c r="P73" s="28"/>
    </row>
    <row r="74" ht="26" spans="1:16">
      <c r="A74" s="37"/>
      <c r="B74" s="1">
        <v>73</v>
      </c>
      <c r="C74" s="14" t="s">
        <v>406</v>
      </c>
      <c r="D74" s="38" t="s">
        <v>341</v>
      </c>
      <c r="E74" s="39"/>
      <c r="F74" s="42" t="s">
        <v>401</v>
      </c>
      <c r="G74" s="42"/>
      <c r="H74" s="43"/>
      <c r="I74" s="43"/>
      <c r="J74" s="29">
        <v>40517</v>
      </c>
      <c r="K74" s="1">
        <v>6</v>
      </c>
      <c r="L74" s="41">
        <v>41248</v>
      </c>
      <c r="M74" s="27">
        <f t="shared" si="0"/>
        <v>18</v>
      </c>
      <c r="N74" s="23">
        <v>18</v>
      </c>
      <c r="O74" s="29">
        <v>40952</v>
      </c>
      <c r="P74" s="28"/>
    </row>
    <row r="75" ht="26" spans="1:16">
      <c r="A75" s="37"/>
      <c r="B75" s="1">
        <v>74</v>
      </c>
      <c r="C75" s="14" t="s">
        <v>407</v>
      </c>
      <c r="D75" s="38" t="s">
        <v>408</v>
      </c>
      <c r="E75" s="39"/>
      <c r="F75" s="42" t="s">
        <v>365</v>
      </c>
      <c r="G75" s="42"/>
      <c r="H75" s="43"/>
      <c r="I75" s="43"/>
      <c r="J75" s="29">
        <v>40787</v>
      </c>
      <c r="K75" s="1">
        <v>235.6634</v>
      </c>
      <c r="L75" s="41">
        <v>41248</v>
      </c>
      <c r="M75" s="27">
        <f t="shared" si="0"/>
        <v>707</v>
      </c>
      <c r="N75" s="23">
        <v>707</v>
      </c>
      <c r="O75" s="29">
        <v>40988</v>
      </c>
      <c r="P75" s="28"/>
    </row>
    <row r="76" spans="1:16">
      <c r="A76" s="37"/>
      <c r="B76" s="1">
        <v>75</v>
      </c>
      <c r="C76" s="14" t="s">
        <v>409</v>
      </c>
      <c r="D76" s="38" t="s">
        <v>299</v>
      </c>
      <c r="E76" s="39"/>
      <c r="F76" s="42" t="s">
        <v>367</v>
      </c>
      <c r="G76" s="42"/>
      <c r="H76" s="43"/>
      <c r="I76" s="43"/>
      <c r="J76" s="29">
        <v>40542</v>
      </c>
      <c r="K76" s="1">
        <v>14.1</v>
      </c>
      <c r="L76" s="41">
        <v>41252</v>
      </c>
      <c r="M76" s="27">
        <f t="shared" si="0"/>
        <v>43</v>
      </c>
      <c r="N76" s="23">
        <v>43</v>
      </c>
      <c r="O76" s="29">
        <v>41004</v>
      </c>
      <c r="P76" s="28"/>
    </row>
    <row r="77" spans="1:16">
      <c r="A77" s="37"/>
      <c r="B77" s="1">
        <v>76</v>
      </c>
      <c r="C77" s="14" t="s">
        <v>410</v>
      </c>
      <c r="D77" s="38" t="s">
        <v>379</v>
      </c>
      <c r="E77" s="39"/>
      <c r="F77" s="42" t="s">
        <v>367</v>
      </c>
      <c r="G77" s="42"/>
      <c r="H77" s="43"/>
      <c r="I77" s="43"/>
      <c r="J77" s="29">
        <v>40848</v>
      </c>
      <c r="K77" s="1">
        <v>33.34</v>
      </c>
      <c r="L77" s="41">
        <v>41253</v>
      </c>
      <c r="M77" s="27">
        <f t="shared" si="0"/>
        <v>101</v>
      </c>
      <c r="N77" s="23">
        <v>101</v>
      </c>
      <c r="O77" s="29">
        <v>41085</v>
      </c>
      <c r="P77" s="28"/>
    </row>
    <row r="78" ht="26" spans="1:16">
      <c r="A78" s="37"/>
      <c r="B78" s="1">
        <v>77</v>
      </c>
      <c r="C78" s="14" t="s">
        <v>411</v>
      </c>
      <c r="D78" s="38" t="s">
        <v>412</v>
      </c>
      <c r="E78" s="39"/>
      <c r="F78" s="42" t="s">
        <v>365</v>
      </c>
      <c r="G78" s="42"/>
      <c r="H78" s="43"/>
      <c r="I78" s="43"/>
      <c r="J78" s="29">
        <v>41000</v>
      </c>
      <c r="K78" s="1">
        <v>4.338</v>
      </c>
      <c r="L78" s="41">
        <v>41254</v>
      </c>
      <c r="M78" s="27">
        <f t="shared" si="0"/>
        <v>14</v>
      </c>
      <c r="N78" s="23">
        <v>14</v>
      </c>
      <c r="O78" s="29">
        <v>41085</v>
      </c>
      <c r="P78" s="28"/>
    </row>
    <row r="79" ht="26" spans="1:16">
      <c r="A79" s="37"/>
      <c r="B79" s="1">
        <v>78</v>
      </c>
      <c r="C79" s="14" t="s">
        <v>413</v>
      </c>
      <c r="D79" s="38" t="s">
        <v>414</v>
      </c>
      <c r="E79" s="39"/>
      <c r="F79" s="42" t="s">
        <v>385</v>
      </c>
      <c r="G79" s="42"/>
      <c r="H79" s="43"/>
      <c r="I79" s="43"/>
      <c r="J79" s="29">
        <v>41127</v>
      </c>
      <c r="K79" s="1">
        <v>60.1323</v>
      </c>
      <c r="L79" s="41">
        <v>41254</v>
      </c>
      <c r="M79" s="27">
        <f t="shared" si="0"/>
        <v>181</v>
      </c>
      <c r="N79" s="23">
        <v>181</v>
      </c>
      <c r="O79" s="29">
        <v>41143</v>
      </c>
      <c r="P79" s="28"/>
    </row>
    <row r="80" ht="26" spans="1:16">
      <c r="A80" s="37"/>
      <c r="B80" s="1">
        <v>79</v>
      </c>
      <c r="C80" s="14" t="s">
        <v>415</v>
      </c>
      <c r="D80" s="38" t="s">
        <v>416</v>
      </c>
      <c r="E80" s="39"/>
      <c r="F80" s="42" t="s">
        <v>417</v>
      </c>
      <c r="G80" s="42"/>
      <c r="H80" s="43"/>
      <c r="I80" s="43"/>
      <c r="J80" s="29">
        <v>41122</v>
      </c>
      <c r="K80" s="1">
        <v>5.0261</v>
      </c>
      <c r="L80" s="41">
        <v>41256</v>
      </c>
      <c r="M80" s="27">
        <f t="shared" si="0"/>
        <v>16</v>
      </c>
      <c r="N80" s="23">
        <v>16</v>
      </c>
      <c r="O80" s="29">
        <v>41172</v>
      </c>
      <c r="P80" s="28"/>
    </row>
    <row r="81" ht="26" spans="1:16">
      <c r="A81" s="44"/>
      <c r="B81" s="1">
        <v>80</v>
      </c>
      <c r="C81" s="14" t="s">
        <v>418</v>
      </c>
      <c r="D81" s="38" t="s">
        <v>387</v>
      </c>
      <c r="E81" s="39"/>
      <c r="F81" s="42" t="s">
        <v>365</v>
      </c>
      <c r="G81" s="42"/>
      <c r="H81" s="43"/>
      <c r="I81" s="43"/>
      <c r="J81" s="29">
        <v>40976</v>
      </c>
      <c r="K81" s="1">
        <v>37.2763</v>
      </c>
      <c r="L81" s="41">
        <v>41257</v>
      </c>
      <c r="M81" s="27">
        <f t="shared" si="0"/>
        <v>112</v>
      </c>
      <c r="N81" s="23">
        <v>112</v>
      </c>
      <c r="O81" s="29">
        <v>41177</v>
      </c>
      <c r="P81" s="28"/>
    </row>
    <row r="82" ht="26" spans="1:16">
      <c r="A82" s="22">
        <v>6</v>
      </c>
      <c r="B82" s="1">
        <v>81</v>
      </c>
      <c r="C82" s="24" t="s">
        <v>419</v>
      </c>
      <c r="D82" s="38" t="s">
        <v>341</v>
      </c>
      <c r="E82" s="39"/>
      <c r="F82" s="42" t="s">
        <v>401</v>
      </c>
      <c r="G82" s="42"/>
      <c r="H82" s="43"/>
      <c r="I82" s="43"/>
      <c r="J82" s="29">
        <v>40973</v>
      </c>
      <c r="K82" s="1">
        <v>9</v>
      </c>
      <c r="L82" s="41">
        <v>41258</v>
      </c>
      <c r="M82" s="27">
        <f t="shared" si="0"/>
        <v>27</v>
      </c>
      <c r="N82" s="23">
        <v>27</v>
      </c>
      <c r="O82" s="29">
        <v>41190</v>
      </c>
      <c r="P82" s="28"/>
    </row>
    <row r="83" ht="26" spans="1:16">
      <c r="A83" s="22"/>
      <c r="B83" s="1">
        <v>82</v>
      </c>
      <c r="C83" s="24" t="s">
        <v>420</v>
      </c>
      <c r="D83" s="38" t="s">
        <v>416</v>
      </c>
      <c r="E83" s="39"/>
      <c r="F83" s="42" t="s">
        <v>421</v>
      </c>
      <c r="G83" s="42"/>
      <c r="H83" s="43"/>
      <c r="I83" s="43"/>
      <c r="J83" s="29">
        <v>41075</v>
      </c>
      <c r="K83" s="1">
        <v>5.886</v>
      </c>
      <c r="L83" s="41">
        <v>41259</v>
      </c>
      <c r="M83" s="27">
        <f t="shared" si="0"/>
        <v>18</v>
      </c>
      <c r="N83" s="23">
        <v>18</v>
      </c>
      <c r="O83" s="29">
        <v>41190</v>
      </c>
      <c r="P83" s="28"/>
    </row>
    <row r="84" spans="1:16">
      <c r="A84" s="22"/>
      <c r="B84" s="1">
        <v>83</v>
      </c>
      <c r="C84" s="24" t="s">
        <v>422</v>
      </c>
      <c r="D84" s="38" t="s">
        <v>423</v>
      </c>
      <c r="E84" s="39"/>
      <c r="F84" s="42" t="s">
        <v>424</v>
      </c>
      <c r="G84" s="42"/>
      <c r="H84" s="43"/>
      <c r="I84" s="43"/>
      <c r="J84" s="29">
        <v>40553</v>
      </c>
      <c r="K84" s="1">
        <v>50</v>
      </c>
      <c r="L84" s="41">
        <v>41260</v>
      </c>
      <c r="M84" s="27">
        <f t="shared" si="0"/>
        <v>150</v>
      </c>
      <c r="N84" s="23">
        <v>8</v>
      </c>
      <c r="O84" s="29">
        <v>41214</v>
      </c>
      <c r="P84" s="28"/>
    </row>
    <row r="85" ht="26" spans="1:16">
      <c r="A85" s="22"/>
      <c r="B85" s="1">
        <v>84</v>
      </c>
      <c r="C85" s="24" t="s">
        <v>425</v>
      </c>
      <c r="D85" s="38" t="s">
        <v>426</v>
      </c>
      <c r="E85" s="39"/>
      <c r="F85" s="42" t="s">
        <v>427</v>
      </c>
      <c r="G85" s="42"/>
      <c r="H85" s="43"/>
      <c r="I85" s="43"/>
      <c r="J85" s="29">
        <v>41169</v>
      </c>
      <c r="K85" s="13">
        <v>46.1513</v>
      </c>
      <c r="L85" s="41">
        <v>2012</v>
      </c>
      <c r="M85" s="27">
        <v>139</v>
      </c>
      <c r="N85" s="23">
        <v>139</v>
      </c>
      <c r="O85" s="29">
        <v>41214</v>
      </c>
      <c r="P85" s="28"/>
    </row>
    <row r="86" ht="26" spans="1:16">
      <c r="A86" s="22"/>
      <c r="B86" s="1">
        <v>85</v>
      </c>
      <c r="C86" s="24" t="s">
        <v>428</v>
      </c>
      <c r="D86" s="38" t="s">
        <v>429</v>
      </c>
      <c r="E86" s="39"/>
      <c r="F86" s="38"/>
      <c r="G86" s="38"/>
      <c r="H86" s="40"/>
      <c r="I86" s="40"/>
      <c r="J86" s="29">
        <v>41164</v>
      </c>
      <c r="K86" s="1">
        <v>13.6</v>
      </c>
      <c r="L86" s="41">
        <v>41262</v>
      </c>
      <c r="M86" s="27">
        <f>ROUNDUP(K86*3,0)</f>
        <v>41</v>
      </c>
      <c r="N86" s="1"/>
      <c r="O86" s="29">
        <v>41214</v>
      </c>
      <c r="P86" s="28"/>
    </row>
    <row r="87" ht="26" spans="1:16">
      <c r="A87" s="22"/>
      <c r="B87" s="1">
        <v>86</v>
      </c>
      <c r="C87" s="24" t="s">
        <v>430</v>
      </c>
      <c r="D87" s="38" t="s">
        <v>431</v>
      </c>
      <c r="E87" s="39"/>
      <c r="F87" s="42" t="s">
        <v>401</v>
      </c>
      <c r="G87" s="42"/>
      <c r="H87" s="43"/>
      <c r="I87" s="43"/>
      <c r="J87" s="29">
        <v>40905</v>
      </c>
      <c r="K87" s="1">
        <v>16.3447</v>
      </c>
      <c r="L87" s="41">
        <v>41254</v>
      </c>
      <c r="M87" s="27">
        <f>ROUNDUP(K87*3,0)</f>
        <v>50</v>
      </c>
      <c r="N87" s="23">
        <v>50</v>
      </c>
      <c r="O87" s="29">
        <v>41214</v>
      </c>
      <c r="P87" s="28"/>
    </row>
    <row r="88" ht="26" spans="1:16">
      <c r="A88" s="22"/>
      <c r="B88" s="1">
        <v>87</v>
      </c>
      <c r="C88" s="24" t="s">
        <v>432</v>
      </c>
      <c r="D88" s="38" t="s">
        <v>431</v>
      </c>
      <c r="E88" s="39"/>
      <c r="F88" s="42" t="s">
        <v>433</v>
      </c>
      <c r="G88" s="42"/>
      <c r="H88" s="43"/>
      <c r="I88" s="43"/>
      <c r="J88" s="29">
        <v>40814</v>
      </c>
      <c r="K88" s="1">
        <v>28.8295</v>
      </c>
      <c r="L88" s="41">
        <v>41254</v>
      </c>
      <c r="M88" s="27">
        <f>ROUNDUP(K88*3,0)</f>
        <v>87</v>
      </c>
      <c r="N88" s="23">
        <v>87</v>
      </c>
      <c r="O88" s="29">
        <v>41246</v>
      </c>
      <c r="P88" s="28"/>
    </row>
    <row r="89" ht="26" spans="1:16">
      <c r="A89" s="22"/>
      <c r="B89" s="1">
        <v>88</v>
      </c>
      <c r="C89" s="24" t="s">
        <v>434</v>
      </c>
      <c r="D89" s="38" t="s">
        <v>435</v>
      </c>
      <c r="E89" s="39"/>
      <c r="F89" s="42" t="s">
        <v>401</v>
      </c>
      <c r="G89" s="42"/>
      <c r="H89" s="43"/>
      <c r="I89" s="43"/>
      <c r="J89" s="29">
        <v>41000</v>
      </c>
      <c r="K89" s="1"/>
      <c r="L89" s="41"/>
      <c r="M89" s="27"/>
      <c r="N89" s="1">
        <v>5</v>
      </c>
      <c r="O89" s="29">
        <v>41246</v>
      </c>
      <c r="P89" s="28"/>
    </row>
    <row r="90" ht="26" spans="1:16">
      <c r="A90" s="22"/>
      <c r="B90" s="1">
        <v>89</v>
      </c>
      <c r="C90" s="24" t="s">
        <v>436</v>
      </c>
      <c r="D90" s="38" t="s">
        <v>437</v>
      </c>
      <c r="E90" s="39"/>
      <c r="F90" s="42" t="s">
        <v>365</v>
      </c>
      <c r="G90" s="42"/>
      <c r="H90" s="43"/>
      <c r="I90" s="43"/>
      <c r="J90" s="29">
        <v>41106</v>
      </c>
      <c r="K90" s="1">
        <v>42.5778</v>
      </c>
      <c r="L90" s="41">
        <v>41254</v>
      </c>
      <c r="M90" s="27">
        <f>ROUNDUP(K90*3,0)</f>
        <v>128</v>
      </c>
      <c r="N90" s="23">
        <v>128</v>
      </c>
      <c r="O90" s="29">
        <v>41253</v>
      </c>
      <c r="P90" s="28"/>
    </row>
    <row r="91" ht="78" spans="1:16">
      <c r="A91" s="22"/>
      <c r="B91" s="1">
        <v>90</v>
      </c>
      <c r="C91" s="24" t="s">
        <v>438</v>
      </c>
      <c r="D91" s="38" t="s">
        <v>439</v>
      </c>
      <c r="E91" s="39"/>
      <c r="F91" s="42" t="s">
        <v>440</v>
      </c>
      <c r="G91" s="42"/>
      <c r="H91" s="43"/>
      <c r="I91" s="43"/>
      <c r="J91" s="29">
        <v>40857</v>
      </c>
      <c r="K91" s="1">
        <v>500.0167</v>
      </c>
      <c r="L91" s="41">
        <v>41254</v>
      </c>
      <c r="M91" s="27">
        <v>1501</v>
      </c>
      <c r="N91" s="23">
        <v>1501</v>
      </c>
      <c r="O91" s="29">
        <v>41260</v>
      </c>
      <c r="P91" s="28"/>
    </row>
    <row r="92" ht="52" spans="1:16">
      <c r="A92" s="22"/>
      <c r="B92" s="1">
        <v>91</v>
      </c>
      <c r="C92" s="24" t="s">
        <v>441</v>
      </c>
      <c r="D92" s="38" t="s">
        <v>439</v>
      </c>
      <c r="E92" s="39"/>
      <c r="F92" s="42" t="s">
        <v>440</v>
      </c>
      <c r="G92" s="42"/>
      <c r="H92" s="43"/>
      <c r="I92" s="43"/>
      <c r="J92" s="29">
        <v>40785</v>
      </c>
      <c r="K92" s="1"/>
      <c r="L92" s="41"/>
      <c r="M92" s="27">
        <v>1193</v>
      </c>
      <c r="N92" s="23">
        <v>1193</v>
      </c>
      <c r="O92" s="29">
        <v>41260</v>
      </c>
      <c r="P92" s="28"/>
    </row>
    <row r="93" ht="39" spans="1:16">
      <c r="A93" s="22"/>
      <c r="B93" s="1">
        <v>92</v>
      </c>
      <c r="C93" s="24" t="s">
        <v>442</v>
      </c>
      <c r="D93" s="38" t="s">
        <v>439</v>
      </c>
      <c r="E93" s="39"/>
      <c r="F93" s="42" t="s">
        <v>367</v>
      </c>
      <c r="G93" s="42"/>
      <c r="H93" s="43"/>
      <c r="I93" s="43"/>
      <c r="J93" s="29">
        <v>40842</v>
      </c>
      <c r="K93" s="1">
        <v>48.4879</v>
      </c>
      <c r="L93" s="27">
        <v>2012</v>
      </c>
      <c r="M93" s="27">
        <v>145</v>
      </c>
      <c r="N93" s="23">
        <v>145</v>
      </c>
      <c r="O93" s="29">
        <v>41333</v>
      </c>
      <c r="P93" s="28"/>
    </row>
    <row r="94" spans="1:16">
      <c r="A94" s="22"/>
      <c r="B94" s="1">
        <v>93</v>
      </c>
      <c r="C94" s="24" t="s">
        <v>443</v>
      </c>
      <c r="D94" s="24"/>
      <c r="E94" s="25"/>
      <c r="F94" s="14"/>
      <c r="G94" s="14"/>
      <c r="H94" s="23"/>
      <c r="I94" s="23"/>
      <c r="J94" s="29">
        <v>41333</v>
      </c>
      <c r="K94" s="1"/>
      <c r="L94" s="27"/>
      <c r="M94" s="27">
        <v>6</v>
      </c>
      <c r="N94" s="1"/>
      <c r="O94" s="29">
        <v>41374</v>
      </c>
      <c r="P94" s="28"/>
    </row>
    <row r="95" spans="1:16">
      <c r="A95" s="22"/>
      <c r="B95" s="1">
        <v>94</v>
      </c>
      <c r="C95" s="24" t="s">
        <v>444</v>
      </c>
      <c r="D95" s="30" t="s">
        <v>322</v>
      </c>
      <c r="E95" s="31"/>
      <c r="F95" s="14" t="s">
        <v>367</v>
      </c>
      <c r="G95" s="14"/>
      <c r="H95" s="23"/>
      <c r="I95" s="23"/>
      <c r="J95" s="29">
        <v>40309</v>
      </c>
      <c r="K95" s="13">
        <v>21.14</v>
      </c>
      <c r="L95" s="27">
        <v>2012</v>
      </c>
      <c r="M95" s="27">
        <v>65</v>
      </c>
      <c r="N95" s="23">
        <v>65</v>
      </c>
      <c r="O95" s="1"/>
      <c r="P95" s="28"/>
    </row>
    <row r="96" ht="26" spans="1:16">
      <c r="A96" s="22"/>
      <c r="B96" s="1">
        <v>95</v>
      </c>
      <c r="C96" s="14" t="s">
        <v>445</v>
      </c>
      <c r="D96" s="24" t="s">
        <v>446</v>
      </c>
      <c r="E96" s="25"/>
      <c r="F96" s="14" t="s">
        <v>365</v>
      </c>
      <c r="G96" s="14"/>
      <c r="H96" s="23"/>
      <c r="I96" s="23"/>
      <c r="J96" s="29">
        <v>40619</v>
      </c>
      <c r="K96" s="13">
        <v>22.44</v>
      </c>
      <c r="L96" s="27">
        <v>2012</v>
      </c>
      <c r="M96" s="27">
        <v>67</v>
      </c>
      <c r="N96" s="23">
        <v>67</v>
      </c>
      <c r="O96" s="1"/>
      <c r="P96" s="35" t="s">
        <v>285</v>
      </c>
    </row>
    <row r="97" ht="39" spans="1:16">
      <c r="A97" s="22"/>
      <c r="B97" s="1">
        <v>96</v>
      </c>
      <c r="C97" s="24" t="s">
        <v>447</v>
      </c>
      <c r="D97" s="24" t="s">
        <v>448</v>
      </c>
      <c r="E97" s="25"/>
      <c r="F97" s="24" t="s">
        <v>449</v>
      </c>
      <c r="G97" s="24"/>
      <c r="H97" s="1"/>
      <c r="I97" s="1"/>
      <c r="J97" s="29">
        <v>39927</v>
      </c>
      <c r="K97" s="1">
        <v>172.6</v>
      </c>
      <c r="L97" s="27">
        <v>2013</v>
      </c>
      <c r="M97" s="27">
        <v>1250</v>
      </c>
      <c r="N97" s="1">
        <v>1250</v>
      </c>
      <c r="O97" s="1"/>
      <c r="P97" s="28"/>
    </row>
    <row r="98" ht="39" spans="1:16">
      <c r="A98" s="22"/>
      <c r="B98" s="1">
        <v>97</v>
      </c>
      <c r="C98" s="24" t="s">
        <v>450</v>
      </c>
      <c r="D98" s="24" t="s">
        <v>451</v>
      </c>
      <c r="E98" s="25"/>
      <c r="F98" s="24" t="s">
        <v>433</v>
      </c>
      <c r="G98" s="24"/>
      <c r="H98" s="1"/>
      <c r="I98" s="1"/>
      <c r="J98" s="29">
        <v>40872</v>
      </c>
      <c r="K98" s="1"/>
      <c r="L98" s="27">
        <v>2013</v>
      </c>
      <c r="M98" s="27">
        <v>907</v>
      </c>
      <c r="N98" s="1">
        <v>907</v>
      </c>
      <c r="O98" s="1"/>
      <c r="P98" s="28"/>
    </row>
    <row r="99" ht="26" spans="1:16">
      <c r="B99" s="1">
        <v>98</v>
      </c>
      <c r="C99" s="24" t="s">
        <v>452</v>
      </c>
      <c r="D99" s="24" t="s">
        <v>451</v>
      </c>
      <c r="E99" s="25"/>
      <c r="F99" s="24" t="s">
        <v>453</v>
      </c>
      <c r="G99" s="24"/>
      <c r="H99" s="1"/>
      <c r="I99" s="1"/>
      <c r="J99" s="29">
        <v>41334</v>
      </c>
      <c r="K99" s="1"/>
      <c r="L99" s="27"/>
      <c r="M99" s="27"/>
      <c r="N99" s="1"/>
      <c r="O99" s="1"/>
      <c r="P99" s="28"/>
    </row>
    <row r="100" spans="1:16">
      <c r="B100" s="1">
        <v>99</v>
      </c>
      <c r="C100" s="24" t="s">
        <v>454</v>
      </c>
      <c r="D100" s="24" t="s">
        <v>455</v>
      </c>
      <c r="E100" s="25"/>
      <c r="F100" s="24" t="s">
        <v>456</v>
      </c>
      <c r="G100" s="24"/>
      <c r="H100" s="1"/>
      <c r="I100" s="1"/>
      <c r="J100" s="29">
        <v>41390</v>
      </c>
      <c r="K100" s="1">
        <v>2</v>
      </c>
      <c r="L100" s="27"/>
      <c r="M100" s="27"/>
      <c r="N100" s="1"/>
      <c r="O100" s="1"/>
      <c r="P100" s="1"/>
    </row>
    <row r="101" spans="1:16">
      <c r="B101" s="1">
        <v>100</v>
      </c>
      <c r="C101" s="24" t="s">
        <v>457</v>
      </c>
      <c r="D101" s="24" t="s">
        <v>458</v>
      </c>
      <c r="E101" s="25"/>
      <c r="F101" s="24" t="s">
        <v>361</v>
      </c>
      <c r="G101" s="24"/>
      <c r="H101" s="1"/>
      <c r="I101" s="1"/>
      <c r="J101" s="29">
        <v>39326</v>
      </c>
      <c r="K101" s="1">
        <v>48</v>
      </c>
      <c r="L101" s="27"/>
      <c r="M101" s="27"/>
      <c r="N101" s="1"/>
      <c r="O101" s="28"/>
      <c r="P101" s="1"/>
    </row>
    <row r="102" spans="1:16">
      <c r="B102" s="1">
        <v>101</v>
      </c>
      <c r="C102" s="24" t="s">
        <v>459</v>
      </c>
      <c r="D102" s="24" t="s">
        <v>458</v>
      </c>
      <c r="E102" s="25"/>
      <c r="F102" s="24" t="s">
        <v>361</v>
      </c>
      <c r="G102" s="24"/>
      <c r="H102" s="1"/>
      <c r="I102" s="1"/>
      <c r="J102" s="29">
        <v>39777</v>
      </c>
      <c r="K102" s="1">
        <v>28</v>
      </c>
      <c r="L102" s="27"/>
      <c r="M102" s="27"/>
      <c r="N102" s="1"/>
      <c r="O102" s="28"/>
      <c r="P102" s="1"/>
    </row>
    <row r="103" spans="1:16">
      <c r="B103" s="1">
        <v>102</v>
      </c>
      <c r="C103" s="24" t="s">
        <v>460</v>
      </c>
      <c r="D103" s="24" t="s">
        <v>461</v>
      </c>
      <c r="E103" s="25"/>
      <c r="F103" s="24" t="s">
        <v>462</v>
      </c>
      <c r="G103" s="24"/>
      <c r="H103" s="1"/>
      <c r="I103" s="1"/>
      <c r="J103" s="29">
        <v>41439</v>
      </c>
      <c r="K103" s="1">
        <v>30</v>
      </c>
      <c r="L103" s="27"/>
      <c r="M103" s="27"/>
      <c r="N103" s="1"/>
      <c r="O103" s="28"/>
      <c r="P103" s="1"/>
    </row>
    <row r="104" ht="26" spans="1:16">
      <c r="B104" s="1">
        <v>103</v>
      </c>
      <c r="C104" s="24" t="s">
        <v>463</v>
      </c>
      <c r="D104" s="24" t="s">
        <v>464</v>
      </c>
      <c r="E104" s="25"/>
      <c r="F104" s="24" t="s">
        <v>465</v>
      </c>
      <c r="G104" s="24"/>
      <c r="H104" s="1"/>
      <c r="I104" s="1"/>
      <c r="J104" s="29">
        <v>40479</v>
      </c>
      <c r="K104" s="1">
        <v>251.273</v>
      </c>
      <c r="L104" s="27"/>
      <c r="M104" s="27"/>
      <c r="N104" s="1"/>
      <c r="O104" s="28"/>
      <c r="P104" s="1"/>
    </row>
    <row r="105" ht="26" spans="1:16">
      <c r="B105" s="1">
        <v>104</v>
      </c>
      <c r="C105" s="24" t="s">
        <v>466</v>
      </c>
      <c r="D105" s="24" t="s">
        <v>467</v>
      </c>
      <c r="E105" s="25"/>
      <c r="F105" s="24" t="s">
        <v>453</v>
      </c>
      <c r="G105" s="24"/>
      <c r="H105" s="1"/>
      <c r="I105" s="1"/>
      <c r="J105" s="29">
        <v>41304</v>
      </c>
      <c r="K105" s="1"/>
      <c r="L105" s="27"/>
      <c r="M105" s="27"/>
      <c r="N105" s="1"/>
      <c r="O105" s="28"/>
      <c r="P105" s="1"/>
    </row>
    <row r="106" ht="39" spans="1:16">
      <c r="B106" s="1">
        <v>105</v>
      </c>
      <c r="C106" s="24" t="s">
        <v>468</v>
      </c>
      <c r="D106" s="24" t="s">
        <v>469</v>
      </c>
      <c r="E106" s="25"/>
      <c r="F106" s="24" t="s">
        <v>470</v>
      </c>
      <c r="G106" s="24"/>
      <c r="H106" s="1"/>
      <c r="I106" s="1"/>
      <c r="J106" s="29">
        <v>41395</v>
      </c>
      <c r="K106" s="1">
        <v>304</v>
      </c>
      <c r="L106" s="27"/>
      <c r="M106" s="27"/>
      <c r="N106" s="1"/>
      <c r="O106" s="28"/>
      <c r="P106" s="1"/>
    </row>
    <row r="107" ht="26" spans="1:16">
      <c r="B107" s="1">
        <v>106</v>
      </c>
      <c r="C107" s="24" t="s">
        <v>471</v>
      </c>
      <c r="D107" s="24" t="s">
        <v>472</v>
      </c>
      <c r="E107" s="25"/>
      <c r="F107" s="24" t="s">
        <v>401</v>
      </c>
      <c r="G107" s="24"/>
      <c r="H107" s="1"/>
      <c r="I107" s="1"/>
      <c r="J107" s="29">
        <v>41456</v>
      </c>
      <c r="K107" s="1">
        <v>6</v>
      </c>
      <c r="L107" s="27"/>
      <c r="M107" s="27"/>
      <c r="N107" s="1"/>
      <c r="O107" s="28"/>
      <c r="P107" s="1"/>
    </row>
    <row r="108" spans="1:16">
      <c r="B108" s="1">
        <v>107</v>
      </c>
      <c r="C108" s="24" t="s">
        <v>473</v>
      </c>
      <c r="D108" s="24" t="s">
        <v>474</v>
      </c>
      <c r="E108" s="25"/>
      <c r="F108" s="24" t="s">
        <v>365</v>
      </c>
      <c r="G108" s="24"/>
      <c r="H108" s="1"/>
      <c r="I108" s="1"/>
      <c r="J108" s="29">
        <v>41475</v>
      </c>
      <c r="K108" s="1"/>
      <c r="L108" s="27"/>
      <c r="M108" s="27"/>
      <c r="N108" s="1"/>
      <c r="O108" s="28"/>
      <c r="P108" s="1"/>
    </row>
    <row r="109" spans="1:16">
      <c r="B109" s="1">
        <v>108</v>
      </c>
      <c r="C109" s="24" t="s">
        <v>475</v>
      </c>
      <c r="D109" s="24" t="s">
        <v>474</v>
      </c>
      <c r="E109" s="25"/>
      <c r="F109" s="24" t="s">
        <v>365</v>
      </c>
      <c r="G109" s="24"/>
      <c r="H109" s="1"/>
      <c r="I109" s="1"/>
      <c r="J109" s="29">
        <v>41475</v>
      </c>
      <c r="K109" s="1"/>
      <c r="L109" s="27"/>
      <c r="M109" s="27"/>
      <c r="N109" s="1"/>
      <c r="O109" s="28"/>
      <c r="P109" s="1"/>
    </row>
    <row r="110" spans="1:16">
      <c r="B110" s="1">
        <v>109</v>
      </c>
      <c r="C110" s="24" t="s">
        <v>476</v>
      </c>
      <c r="D110" s="24" t="s">
        <v>474</v>
      </c>
      <c r="E110" s="25"/>
      <c r="F110" s="24" t="s">
        <v>365</v>
      </c>
      <c r="G110" s="24"/>
      <c r="H110" s="1"/>
      <c r="I110" s="1"/>
      <c r="J110" s="29">
        <v>41345</v>
      </c>
      <c r="K110" s="1"/>
      <c r="L110" s="27"/>
      <c r="M110" s="27"/>
      <c r="N110" s="1"/>
      <c r="O110" s="28"/>
      <c r="P110" s="1"/>
    </row>
    <row r="111" spans="1:16">
      <c r="B111" s="1">
        <v>110</v>
      </c>
      <c r="C111" s="24" t="s">
        <v>477</v>
      </c>
      <c r="D111" s="24" t="s">
        <v>478</v>
      </c>
      <c r="E111" s="25"/>
      <c r="F111" s="24" t="s">
        <v>367</v>
      </c>
      <c r="G111" s="24"/>
      <c r="H111" s="1"/>
      <c r="I111" s="1"/>
      <c r="J111" s="29">
        <v>41219</v>
      </c>
      <c r="K111" s="1"/>
      <c r="L111" s="27"/>
      <c r="M111" s="27"/>
      <c r="N111" s="1"/>
      <c r="O111" s="28"/>
      <c r="P111" s="1"/>
    </row>
    <row r="112" ht="26" spans="1:16">
      <c r="B112" s="1">
        <v>111</v>
      </c>
      <c r="C112" s="24" t="s">
        <v>479</v>
      </c>
      <c r="D112" s="24" t="s">
        <v>478</v>
      </c>
      <c r="E112" s="25"/>
      <c r="F112" s="24" t="s">
        <v>367</v>
      </c>
      <c r="G112" s="24"/>
      <c r="H112" s="1"/>
      <c r="I112" s="1"/>
      <c r="J112" s="29">
        <v>41331</v>
      </c>
      <c r="K112" s="1"/>
      <c r="L112" s="27"/>
      <c r="M112" s="27"/>
      <c r="N112" s="1"/>
      <c r="O112" s="28"/>
      <c r="P112" s="1"/>
    </row>
    <row r="113" ht="39" spans="2:16">
      <c r="B113" s="1">
        <v>112</v>
      </c>
      <c r="C113" s="24" t="s">
        <v>480</v>
      </c>
      <c r="D113" s="24" t="s">
        <v>414</v>
      </c>
      <c r="E113" s="25"/>
      <c r="F113" s="24" t="s">
        <v>481</v>
      </c>
      <c r="G113" s="24"/>
      <c r="H113" s="1"/>
      <c r="I113" s="1"/>
      <c r="J113" s="29">
        <v>41197</v>
      </c>
      <c r="K113" s="1"/>
      <c r="L113" s="27"/>
      <c r="M113" s="27"/>
      <c r="N113" s="1"/>
      <c r="O113" s="28"/>
      <c r="P113" s="1"/>
    </row>
    <row r="114" ht="22.2" customHeight="1" spans="2:16">
      <c r="B114" s="1">
        <v>113</v>
      </c>
      <c r="C114" s="24" t="s">
        <v>482</v>
      </c>
      <c r="D114" s="24" t="s">
        <v>414</v>
      </c>
      <c r="E114" s="25"/>
      <c r="F114" s="24" t="s">
        <v>367</v>
      </c>
      <c r="G114" s="24"/>
      <c r="H114" s="1"/>
      <c r="I114" s="1"/>
      <c r="J114" s="29">
        <v>41358</v>
      </c>
      <c r="K114" s="1"/>
      <c r="L114" s="27"/>
      <c r="M114" s="27"/>
      <c r="N114" s="1"/>
      <c r="O114" s="28"/>
      <c r="P114" s="1"/>
    </row>
    <row r="115" ht="39" spans="2:16">
      <c r="B115" s="1">
        <v>114</v>
      </c>
      <c r="C115" s="24" t="s">
        <v>483</v>
      </c>
      <c r="D115" s="24" t="s">
        <v>414</v>
      </c>
      <c r="E115" s="25"/>
      <c r="F115" s="24" t="s">
        <v>481</v>
      </c>
      <c r="G115" s="24"/>
      <c r="H115" s="1"/>
      <c r="I115" s="1"/>
      <c r="J115" s="29">
        <v>41361</v>
      </c>
      <c r="K115" s="1"/>
      <c r="L115" s="27"/>
      <c r="M115" s="27"/>
      <c r="N115" s="1"/>
      <c r="O115" s="28"/>
      <c r="P115" s="1"/>
    </row>
    <row r="116" ht="26" spans="2:16">
      <c r="B116" s="1">
        <v>115</v>
      </c>
      <c r="C116" s="24" t="s">
        <v>484</v>
      </c>
      <c r="D116" s="24" t="s">
        <v>485</v>
      </c>
      <c r="E116" s="25"/>
      <c r="F116" s="24" t="s">
        <v>401</v>
      </c>
      <c r="G116" s="24"/>
      <c r="H116" s="1"/>
      <c r="I116" s="1"/>
      <c r="J116" s="29">
        <v>41373</v>
      </c>
      <c r="K116" s="1"/>
      <c r="L116" s="27"/>
      <c r="M116" s="27"/>
      <c r="N116" s="1"/>
      <c r="O116" s="28"/>
      <c r="P116" s="1"/>
    </row>
    <row r="117" ht="39" spans="2:16">
      <c r="B117" s="1">
        <v>116</v>
      </c>
      <c r="C117" s="24" t="s">
        <v>486</v>
      </c>
      <c r="D117" s="24" t="s">
        <v>485</v>
      </c>
      <c r="E117" s="25"/>
      <c r="F117" s="24" t="s">
        <v>365</v>
      </c>
      <c r="G117" s="24"/>
      <c r="H117" s="1"/>
      <c r="I117" s="1"/>
      <c r="J117" s="29">
        <v>41341</v>
      </c>
      <c r="K117" s="1"/>
      <c r="L117" s="27"/>
      <c r="M117" s="27"/>
      <c r="N117" s="1"/>
      <c r="O117" s="28"/>
      <c r="P117" s="1"/>
    </row>
    <row r="118" ht="26" spans="2:16">
      <c r="B118" s="1">
        <v>117</v>
      </c>
      <c r="C118" s="24" t="s">
        <v>487</v>
      </c>
      <c r="D118" s="24" t="s">
        <v>485</v>
      </c>
      <c r="E118" s="25"/>
      <c r="F118" s="24" t="s">
        <v>401</v>
      </c>
      <c r="G118" s="24"/>
      <c r="H118" s="1"/>
      <c r="I118" s="1"/>
      <c r="J118" s="29">
        <v>41494</v>
      </c>
      <c r="K118" s="1"/>
      <c r="L118" s="27"/>
      <c r="M118" s="27"/>
      <c r="N118" s="1"/>
      <c r="O118" s="28"/>
      <c r="P118" s="1"/>
    </row>
    <row r="119" ht="26" spans="2:16">
      <c r="B119" s="1">
        <v>118</v>
      </c>
      <c r="C119" s="24" t="s">
        <v>488</v>
      </c>
      <c r="D119" s="24" t="s">
        <v>485</v>
      </c>
      <c r="E119" s="25"/>
      <c r="F119" s="24" t="s">
        <v>401</v>
      </c>
      <c r="G119" s="24"/>
      <c r="H119" s="1"/>
      <c r="I119" s="1"/>
      <c r="J119" s="29">
        <v>41345</v>
      </c>
      <c r="K119" s="1"/>
      <c r="L119" s="27"/>
      <c r="M119" s="27"/>
      <c r="N119" s="1"/>
      <c r="O119" s="28"/>
      <c r="P119" s="1"/>
    </row>
    <row r="120" ht="26" spans="2:16">
      <c r="B120" s="1">
        <v>119</v>
      </c>
      <c r="C120" s="24" t="s">
        <v>489</v>
      </c>
      <c r="D120" s="24" t="s">
        <v>490</v>
      </c>
      <c r="E120" s="25"/>
      <c r="F120" s="24" t="s">
        <v>491</v>
      </c>
      <c r="G120" s="24"/>
      <c r="H120" s="1"/>
      <c r="I120" s="1"/>
      <c r="J120" s="29">
        <v>41527</v>
      </c>
      <c r="K120" s="1">
        <v>22.419</v>
      </c>
      <c r="L120" s="27"/>
      <c r="M120" s="27"/>
      <c r="N120" s="1"/>
      <c r="O120" s="28"/>
      <c r="P120" s="1"/>
    </row>
    <row r="121" ht="26" spans="2:16">
      <c r="B121" s="1">
        <v>120</v>
      </c>
      <c r="C121" s="24" t="s">
        <v>492</v>
      </c>
      <c r="D121" s="24" t="s">
        <v>493</v>
      </c>
      <c r="E121" s="25"/>
      <c r="F121" s="24" t="s">
        <v>365</v>
      </c>
      <c r="G121" s="24"/>
      <c r="H121" s="1"/>
      <c r="I121" s="1"/>
      <c r="J121" s="29">
        <v>41365</v>
      </c>
      <c r="K121" s="1">
        <v>40</v>
      </c>
      <c r="L121" s="27"/>
      <c r="M121" s="27"/>
      <c r="N121" s="1"/>
      <c r="O121" s="28"/>
      <c r="P121" s="1"/>
    </row>
    <row r="122" spans="2:16">
      <c r="B122" s="1">
        <v>121</v>
      </c>
      <c r="C122" s="24" t="s">
        <v>494</v>
      </c>
      <c r="D122" s="24" t="s">
        <v>379</v>
      </c>
      <c r="E122" s="25"/>
      <c r="F122" s="24" t="s">
        <v>367</v>
      </c>
      <c r="G122" s="24"/>
      <c r="H122" s="1"/>
      <c r="I122" s="1"/>
      <c r="J122" s="29">
        <v>41477</v>
      </c>
      <c r="K122" s="1">
        <v>12</v>
      </c>
      <c r="L122" s="27"/>
      <c r="M122" s="27"/>
      <c r="N122" s="1"/>
      <c r="O122" s="28"/>
      <c r="P122" s="1"/>
    </row>
    <row r="123" spans="2:16">
      <c r="B123" s="1">
        <v>122</v>
      </c>
      <c r="C123" s="24" t="s">
        <v>495</v>
      </c>
      <c r="D123" s="24" t="s">
        <v>379</v>
      </c>
      <c r="E123" s="25"/>
      <c r="F123" s="24" t="s">
        <v>367</v>
      </c>
      <c r="G123" s="24"/>
      <c r="H123" s="1"/>
      <c r="I123" s="1"/>
      <c r="J123" s="29">
        <v>41477</v>
      </c>
      <c r="K123" s="1">
        <v>21</v>
      </c>
      <c r="L123" s="27"/>
      <c r="M123" s="27"/>
      <c r="N123" s="1"/>
      <c r="O123" s="28"/>
      <c r="P123" s="1"/>
    </row>
    <row r="124" ht="26" spans="2:16">
      <c r="B124" s="1">
        <v>123</v>
      </c>
      <c r="C124" s="24" t="s">
        <v>496</v>
      </c>
      <c r="D124" s="24" t="s">
        <v>497</v>
      </c>
      <c r="E124" s="25"/>
      <c r="F124" s="24" t="s">
        <v>498</v>
      </c>
      <c r="G124" s="24"/>
      <c r="H124" s="1"/>
      <c r="I124" s="1"/>
      <c r="J124" s="29">
        <v>41430</v>
      </c>
      <c r="K124" s="1">
        <v>38</v>
      </c>
      <c r="L124" s="27"/>
      <c r="M124" s="27"/>
      <c r="N124" s="1"/>
      <c r="O124" s="28"/>
      <c r="P124" s="1"/>
    </row>
    <row r="125" ht="26" spans="2:16">
      <c r="B125" s="1">
        <v>124</v>
      </c>
      <c r="C125" s="24" t="s">
        <v>499</v>
      </c>
      <c r="D125" s="24" t="s">
        <v>497</v>
      </c>
      <c r="E125" s="25"/>
      <c r="F125" s="24" t="s">
        <v>365</v>
      </c>
      <c r="G125" s="24"/>
      <c r="H125" s="1"/>
      <c r="I125" s="1"/>
      <c r="J125" s="29">
        <v>41480</v>
      </c>
      <c r="K125" s="1">
        <v>48</v>
      </c>
      <c r="L125" s="27"/>
      <c r="M125" s="27"/>
      <c r="N125" s="1"/>
      <c r="O125" s="28"/>
      <c r="P125" s="1"/>
    </row>
    <row r="126" ht="26" spans="2:16">
      <c r="B126" s="1">
        <v>125</v>
      </c>
      <c r="C126" s="24" t="s">
        <v>500</v>
      </c>
      <c r="D126" s="24" t="s">
        <v>485</v>
      </c>
      <c r="E126" s="25"/>
      <c r="F126" s="24" t="s">
        <v>365</v>
      </c>
      <c r="G126" s="24"/>
      <c r="H126" s="1"/>
      <c r="I126" s="1"/>
      <c r="J126" s="29">
        <v>41623</v>
      </c>
      <c r="K126" s="1"/>
      <c r="L126" s="27"/>
      <c r="M126" s="27"/>
      <c r="N126" s="1"/>
      <c r="O126" s="28"/>
      <c r="P126" s="1"/>
    </row>
    <row r="127" ht="26" spans="2:16">
      <c r="B127" s="1">
        <v>126</v>
      </c>
      <c r="C127" s="24" t="s">
        <v>501</v>
      </c>
      <c r="D127" s="24" t="s">
        <v>485</v>
      </c>
      <c r="E127" s="25"/>
      <c r="F127" s="24" t="s">
        <v>401</v>
      </c>
      <c r="G127" s="24"/>
      <c r="H127" s="1"/>
      <c r="I127" s="1"/>
      <c r="J127" s="29">
        <v>41488</v>
      </c>
      <c r="K127" s="1"/>
      <c r="L127" s="27"/>
      <c r="M127" s="27"/>
      <c r="N127" s="1"/>
      <c r="O127" s="28"/>
      <c r="P127" s="1"/>
    </row>
    <row r="128" ht="26" spans="2:16">
      <c r="B128" s="1">
        <v>127</v>
      </c>
      <c r="C128" s="24" t="s">
        <v>502</v>
      </c>
      <c r="D128" s="24" t="s">
        <v>485</v>
      </c>
      <c r="E128" s="25"/>
      <c r="F128" s="24" t="s">
        <v>421</v>
      </c>
      <c r="G128" s="24"/>
      <c r="H128" s="1"/>
      <c r="I128" s="1"/>
      <c r="J128" s="29">
        <v>41519</v>
      </c>
      <c r="K128" s="1"/>
      <c r="L128" s="27"/>
      <c r="M128" s="27"/>
      <c r="N128" s="1"/>
      <c r="O128" s="28"/>
      <c r="P128" s="1"/>
    </row>
    <row r="129" ht="26" spans="2:16">
      <c r="B129" s="1">
        <v>128</v>
      </c>
      <c r="C129" s="24" t="s">
        <v>503</v>
      </c>
      <c r="D129" s="24" t="s">
        <v>485</v>
      </c>
      <c r="E129" s="25"/>
      <c r="F129" s="24" t="s">
        <v>456</v>
      </c>
      <c r="G129" s="24"/>
      <c r="H129" s="1"/>
      <c r="I129" s="1"/>
      <c r="J129" s="29">
        <v>41575</v>
      </c>
      <c r="K129" s="1"/>
      <c r="L129" s="27"/>
      <c r="M129" s="27"/>
      <c r="N129" s="1"/>
      <c r="O129" s="28"/>
      <c r="P129" s="1"/>
    </row>
    <row r="130" ht="26" spans="2:16">
      <c r="B130" s="1">
        <v>129</v>
      </c>
      <c r="C130" s="24" t="s">
        <v>504</v>
      </c>
      <c r="D130" s="24" t="s">
        <v>485</v>
      </c>
      <c r="E130" s="25"/>
      <c r="F130" s="24" t="s">
        <v>505</v>
      </c>
      <c r="G130" s="24"/>
      <c r="H130" s="1"/>
      <c r="I130" s="1"/>
      <c r="J130" s="29">
        <v>41488</v>
      </c>
      <c r="K130" s="1"/>
      <c r="L130" s="27"/>
      <c r="M130" s="27"/>
      <c r="N130" s="1"/>
      <c r="O130" s="28"/>
      <c r="P130" s="1"/>
    </row>
    <row r="131" ht="26" spans="2:16">
      <c r="B131" s="1">
        <v>130</v>
      </c>
      <c r="C131" s="24" t="s">
        <v>506</v>
      </c>
      <c r="D131" s="24" t="s">
        <v>485</v>
      </c>
      <c r="E131" s="25"/>
      <c r="F131" s="24" t="s">
        <v>401</v>
      </c>
      <c r="G131" s="24"/>
      <c r="H131" s="1"/>
      <c r="I131" s="1"/>
      <c r="J131" s="29">
        <v>41488</v>
      </c>
      <c r="K131" s="1"/>
      <c r="L131" s="27"/>
      <c r="M131" s="27"/>
      <c r="N131" s="1"/>
      <c r="O131" s="28"/>
      <c r="P131" s="1"/>
    </row>
    <row r="132" ht="26" spans="2:16">
      <c r="B132" s="1">
        <v>131</v>
      </c>
      <c r="C132" s="24" t="s">
        <v>507</v>
      </c>
      <c r="D132" s="24" t="s">
        <v>508</v>
      </c>
      <c r="E132" s="25"/>
      <c r="F132" s="24" t="s">
        <v>509</v>
      </c>
      <c r="G132" s="24"/>
      <c r="H132" s="1"/>
      <c r="I132" s="1"/>
      <c r="J132" s="29">
        <v>41131</v>
      </c>
      <c r="K132" s="1"/>
      <c r="L132" s="27"/>
      <c r="M132" s="27"/>
      <c r="N132" s="1"/>
      <c r="O132" s="28"/>
      <c r="P132" s="1"/>
    </row>
    <row r="133" spans="2:16">
      <c r="B133" s="1">
        <v>132</v>
      </c>
      <c r="C133" s="24" t="s">
        <v>510</v>
      </c>
      <c r="D133" s="24" t="s">
        <v>508</v>
      </c>
      <c r="E133" s="25"/>
      <c r="F133" s="24" t="s">
        <v>511</v>
      </c>
      <c r="G133" s="24"/>
      <c r="H133" s="1"/>
      <c r="I133" s="1"/>
      <c r="J133" s="29">
        <v>40765</v>
      </c>
      <c r="K133" s="1"/>
      <c r="L133" s="27"/>
      <c r="M133" s="27"/>
      <c r="N133" s="1"/>
      <c r="O133" s="28"/>
      <c r="P133" s="1"/>
    </row>
    <row r="134" spans="2:16">
      <c r="B134" s="1">
        <v>133</v>
      </c>
      <c r="C134" s="24" t="s">
        <v>512</v>
      </c>
      <c r="D134" s="24" t="s">
        <v>508</v>
      </c>
      <c r="E134" s="25"/>
      <c r="F134" s="24" t="s">
        <v>365</v>
      </c>
      <c r="G134" s="24"/>
      <c r="H134" s="1"/>
      <c r="I134" s="1"/>
      <c r="J134" s="29">
        <v>41131</v>
      </c>
      <c r="K134" s="1"/>
      <c r="L134" s="27"/>
      <c r="M134" s="27"/>
      <c r="N134" s="1"/>
      <c r="O134" s="28"/>
      <c r="P134" s="1"/>
    </row>
    <row r="135" spans="2:16">
      <c r="B135" s="1">
        <v>134</v>
      </c>
      <c r="C135" s="24" t="s">
        <v>513</v>
      </c>
      <c r="D135" s="24" t="s">
        <v>508</v>
      </c>
      <c r="E135" s="25"/>
      <c r="F135" s="24" t="s">
        <v>365</v>
      </c>
      <c r="G135" s="24"/>
      <c r="H135" s="1"/>
      <c r="I135" s="1"/>
      <c r="J135" s="29">
        <v>41131</v>
      </c>
      <c r="K135" s="1"/>
      <c r="L135" s="27"/>
      <c r="M135" s="27"/>
      <c r="N135" s="1"/>
      <c r="O135" s="28"/>
      <c r="P135" s="1"/>
    </row>
    <row r="136" ht="26" spans="2:16">
      <c r="B136" s="1">
        <v>135</v>
      </c>
      <c r="C136" s="24" t="s">
        <v>514</v>
      </c>
      <c r="D136" s="24" t="s">
        <v>508</v>
      </c>
      <c r="E136" s="25"/>
      <c r="F136" s="24"/>
      <c r="G136" s="24"/>
      <c r="H136" s="1"/>
      <c r="I136" s="1"/>
      <c r="J136" s="29">
        <v>41487</v>
      </c>
      <c r="K136" s="1"/>
      <c r="L136" s="27"/>
      <c r="M136" s="27"/>
      <c r="N136" s="1"/>
      <c r="O136" s="28"/>
      <c r="P136" s="1"/>
    </row>
    <row r="137" ht="26" spans="2:16">
      <c r="B137" s="1">
        <v>136</v>
      </c>
      <c r="C137" s="24" t="s">
        <v>515</v>
      </c>
      <c r="D137" s="24" t="s">
        <v>451</v>
      </c>
      <c r="E137" s="25"/>
      <c r="F137" s="24" t="s">
        <v>453</v>
      </c>
      <c r="G137" s="24"/>
      <c r="H137" s="1"/>
      <c r="I137" s="1"/>
      <c r="J137" s="29">
        <v>41579</v>
      </c>
      <c r="K137" s="1"/>
      <c r="L137" s="27"/>
      <c r="M137" s="27"/>
      <c r="N137" s="1"/>
      <c r="O137" s="28"/>
      <c r="P137" s="1"/>
    </row>
    <row r="138" ht="26" spans="2:16">
      <c r="B138" s="1">
        <v>137</v>
      </c>
      <c r="C138" s="24" t="s">
        <v>516</v>
      </c>
      <c r="D138" s="24" t="s">
        <v>517</v>
      </c>
      <c r="E138" s="25"/>
      <c r="F138" s="24" t="s">
        <v>401</v>
      </c>
      <c r="G138" s="24"/>
      <c r="H138" s="1"/>
      <c r="I138" s="1"/>
      <c r="J138" s="29">
        <v>41487</v>
      </c>
      <c r="K138" s="1"/>
      <c r="L138" s="27"/>
      <c r="M138" s="27"/>
      <c r="N138" s="1"/>
      <c r="O138" s="28"/>
      <c r="P138" s="1"/>
    </row>
    <row r="139" ht="26" spans="2:16">
      <c r="B139" s="1">
        <v>138</v>
      </c>
      <c r="C139" s="24" t="s">
        <v>518</v>
      </c>
      <c r="D139" s="24" t="s">
        <v>517</v>
      </c>
      <c r="E139" s="25"/>
      <c r="F139" s="24" t="s">
        <v>453</v>
      </c>
      <c r="G139" s="24"/>
      <c r="H139" s="1"/>
      <c r="I139" s="1"/>
      <c r="J139" s="29">
        <v>41456</v>
      </c>
      <c r="K139" s="1"/>
      <c r="L139" s="27"/>
      <c r="M139" s="27"/>
      <c r="N139" s="1"/>
      <c r="O139" s="28"/>
      <c r="P139" s="1"/>
    </row>
    <row r="140" spans="2:16">
      <c r="B140" s="1">
        <v>139</v>
      </c>
      <c r="C140" s="24" t="s">
        <v>519</v>
      </c>
      <c r="D140" s="24" t="s">
        <v>517</v>
      </c>
      <c r="E140" s="25"/>
      <c r="F140" s="24" t="s">
        <v>401</v>
      </c>
      <c r="G140" s="24"/>
      <c r="H140" s="1"/>
      <c r="I140" s="1"/>
      <c r="J140" s="29">
        <v>41456</v>
      </c>
      <c r="K140" s="1"/>
      <c r="L140" s="27"/>
      <c r="M140" s="27"/>
      <c r="N140" s="1"/>
      <c r="O140" s="28"/>
      <c r="P140" s="1"/>
    </row>
    <row r="141" ht="26" spans="2:16">
      <c r="B141" s="1">
        <v>140</v>
      </c>
      <c r="C141" s="24" t="s">
        <v>520</v>
      </c>
      <c r="D141" s="24" t="s">
        <v>517</v>
      </c>
      <c r="E141" s="25"/>
      <c r="F141" s="24" t="s">
        <v>401</v>
      </c>
      <c r="G141" s="24"/>
      <c r="H141" s="1"/>
      <c r="I141" s="1"/>
      <c r="J141" s="29">
        <v>41487</v>
      </c>
      <c r="K141" s="1"/>
      <c r="L141" s="27"/>
      <c r="M141" s="27"/>
      <c r="N141" s="1"/>
      <c r="O141" s="28"/>
      <c r="P141" s="1"/>
    </row>
    <row r="142" ht="26" spans="2:16">
      <c r="B142" s="1">
        <v>141</v>
      </c>
      <c r="C142" s="24" t="s">
        <v>521</v>
      </c>
      <c r="D142" s="24" t="s">
        <v>517</v>
      </c>
      <c r="E142" s="25"/>
      <c r="F142" s="24" t="s">
        <v>401</v>
      </c>
      <c r="G142" s="24"/>
      <c r="H142" s="1"/>
      <c r="I142" s="1"/>
      <c r="J142" s="29">
        <v>41518</v>
      </c>
      <c r="K142" s="1"/>
      <c r="L142" s="27"/>
      <c r="M142" s="27"/>
      <c r="N142" s="1"/>
      <c r="O142" s="28"/>
      <c r="P142" s="1"/>
    </row>
    <row r="143" ht="39" spans="2:16">
      <c r="B143" s="1">
        <v>142</v>
      </c>
      <c r="C143" s="24" t="s">
        <v>522</v>
      </c>
      <c r="D143" s="24" t="s">
        <v>517</v>
      </c>
      <c r="E143" s="25"/>
      <c r="F143" s="24" t="s">
        <v>365</v>
      </c>
      <c r="G143" s="24"/>
      <c r="H143" s="1"/>
      <c r="I143" s="1"/>
      <c r="J143" s="29">
        <v>41456</v>
      </c>
      <c r="K143" s="1"/>
      <c r="L143" s="27"/>
      <c r="M143" s="27"/>
      <c r="N143" s="1"/>
      <c r="O143" s="28"/>
      <c r="P143" s="1"/>
    </row>
    <row r="144" spans="2:16">
      <c r="B144" s="1">
        <v>143</v>
      </c>
      <c r="C144" s="24" t="s">
        <v>523</v>
      </c>
      <c r="D144" s="24" t="s">
        <v>517</v>
      </c>
      <c r="E144" s="25"/>
      <c r="F144" s="24" t="s">
        <v>401</v>
      </c>
      <c r="G144" s="24"/>
      <c r="H144" s="1"/>
      <c r="I144" s="1"/>
      <c r="J144" s="29">
        <v>41456</v>
      </c>
      <c r="K144" s="1"/>
      <c r="L144" s="27"/>
      <c r="M144" s="27"/>
      <c r="N144" s="1"/>
      <c r="O144" s="28"/>
      <c r="P144" s="1"/>
    </row>
    <row r="145" ht="26" spans="2:16">
      <c r="B145" s="1">
        <v>144</v>
      </c>
      <c r="C145" s="24" t="s">
        <v>524</v>
      </c>
      <c r="D145" s="24" t="s">
        <v>517</v>
      </c>
      <c r="E145" s="25"/>
      <c r="F145" s="24" t="s">
        <v>401</v>
      </c>
      <c r="G145" s="24"/>
      <c r="H145" s="1"/>
      <c r="I145" s="1"/>
      <c r="J145" s="29">
        <v>41518</v>
      </c>
      <c r="K145" s="1"/>
      <c r="L145" s="27"/>
      <c r="M145" s="27"/>
      <c r="N145" s="1"/>
      <c r="O145" s="28"/>
      <c r="P145" s="1"/>
    </row>
    <row r="146" ht="26" spans="2:16">
      <c r="B146" s="1">
        <v>145</v>
      </c>
      <c r="C146" s="24" t="s">
        <v>525</v>
      </c>
      <c r="D146" s="24" t="s">
        <v>485</v>
      </c>
      <c r="E146" s="25"/>
      <c r="F146" s="24" t="s">
        <v>453</v>
      </c>
      <c r="G146" s="24"/>
      <c r="H146" s="1"/>
      <c r="I146" s="1"/>
      <c r="J146" s="29">
        <v>41562</v>
      </c>
      <c r="K146" s="1"/>
      <c r="L146" s="27"/>
      <c r="M146" s="27"/>
      <c r="N146" s="1"/>
      <c r="O146" s="28"/>
      <c r="P146" s="1"/>
    </row>
    <row r="147" spans="2:16">
      <c r="B147" s="1">
        <v>146</v>
      </c>
      <c r="C147" s="24" t="s">
        <v>526</v>
      </c>
      <c r="D147" s="24" t="s">
        <v>517</v>
      </c>
      <c r="E147" s="25"/>
      <c r="F147" s="24" t="s">
        <v>527</v>
      </c>
      <c r="G147" s="24"/>
      <c r="H147" s="1"/>
      <c r="I147" s="1"/>
      <c r="J147" s="29">
        <v>41464</v>
      </c>
      <c r="K147" s="1"/>
      <c r="L147" s="27"/>
      <c r="M147" s="27"/>
      <c r="N147" s="1"/>
      <c r="O147" s="28"/>
      <c r="P147" s="1"/>
    </row>
    <row r="148" spans="2:16">
      <c r="B148" s="1">
        <v>147</v>
      </c>
      <c r="C148" s="24" t="s">
        <v>528</v>
      </c>
      <c r="D148" s="24" t="s">
        <v>517</v>
      </c>
      <c r="E148" s="25"/>
      <c r="F148" s="24" t="s">
        <v>511</v>
      </c>
      <c r="G148" s="24"/>
      <c r="H148" s="1"/>
      <c r="I148" s="1"/>
      <c r="J148" s="29">
        <v>41464</v>
      </c>
      <c r="K148" s="1"/>
      <c r="L148" s="27"/>
      <c r="M148" s="27"/>
      <c r="N148" s="1"/>
      <c r="O148" s="28"/>
      <c r="P148" s="1"/>
    </row>
    <row r="149" ht="26" spans="2:16">
      <c r="B149" s="1">
        <v>148</v>
      </c>
      <c r="C149" s="24" t="s">
        <v>529</v>
      </c>
      <c r="D149" s="24" t="s">
        <v>517</v>
      </c>
      <c r="E149" s="25"/>
      <c r="F149" s="24" t="s">
        <v>530</v>
      </c>
      <c r="G149" s="24"/>
      <c r="H149" s="1"/>
      <c r="I149" s="1"/>
      <c r="J149" s="29">
        <v>41404</v>
      </c>
      <c r="K149" s="1"/>
      <c r="L149" s="27"/>
      <c r="M149" s="27"/>
      <c r="N149" s="1"/>
      <c r="O149" s="28"/>
      <c r="P149" s="1"/>
    </row>
    <row r="150" spans="2:16">
      <c r="B150" s="1">
        <v>149</v>
      </c>
      <c r="C150" s="24" t="s">
        <v>531</v>
      </c>
      <c r="D150" s="24" t="s">
        <v>517</v>
      </c>
      <c r="E150" s="25"/>
      <c r="F150" s="24" t="s">
        <v>527</v>
      </c>
      <c r="G150" s="24"/>
      <c r="H150" s="1"/>
      <c r="I150" s="1"/>
      <c r="J150" s="29">
        <v>41339</v>
      </c>
      <c r="K150" s="1"/>
      <c r="L150" s="27"/>
      <c r="M150" s="27"/>
      <c r="N150" s="1"/>
      <c r="O150" s="28"/>
      <c r="P150" s="1"/>
    </row>
    <row r="151" ht="26" spans="2:16">
      <c r="B151" s="1">
        <v>150</v>
      </c>
      <c r="C151" s="24" t="s">
        <v>532</v>
      </c>
      <c r="D151" s="24" t="s">
        <v>517</v>
      </c>
      <c r="E151" s="25"/>
      <c r="F151" s="24" t="s">
        <v>367</v>
      </c>
      <c r="G151" s="24"/>
      <c r="H151" s="1"/>
      <c r="I151" s="1"/>
      <c r="J151" s="29">
        <v>41404</v>
      </c>
      <c r="K151" s="1"/>
      <c r="L151" s="27"/>
      <c r="M151" s="27"/>
      <c r="N151" s="1"/>
      <c r="O151" s="28"/>
      <c r="P151" s="1"/>
    </row>
    <row r="152" ht="39" spans="2:16">
      <c r="B152" s="1">
        <v>151</v>
      </c>
      <c r="C152" s="24" t="s">
        <v>533</v>
      </c>
      <c r="D152" s="24" t="s">
        <v>534</v>
      </c>
      <c r="E152" s="25"/>
      <c r="F152" s="24" t="s">
        <v>401</v>
      </c>
      <c r="G152" s="24"/>
      <c r="H152" s="1"/>
      <c r="I152" s="1"/>
      <c r="J152" s="29">
        <v>41730</v>
      </c>
      <c r="K152" s="1"/>
      <c r="L152" s="27"/>
      <c r="M152" s="27"/>
      <c r="N152" s="1"/>
      <c r="O152" s="28"/>
      <c r="P152" s="1"/>
    </row>
    <row r="153" ht="26" spans="2:16">
      <c r="B153" s="1">
        <v>152</v>
      </c>
      <c r="C153" s="24" t="s">
        <v>535</v>
      </c>
      <c r="D153" s="24" t="s">
        <v>536</v>
      </c>
      <c r="E153" s="25"/>
      <c r="F153" s="24" t="s">
        <v>361</v>
      </c>
      <c r="G153" s="24"/>
      <c r="H153" s="1"/>
      <c r="I153" s="1"/>
      <c r="J153" s="29">
        <v>41395</v>
      </c>
      <c r="K153" s="1">
        <v>49.5</v>
      </c>
      <c r="L153" s="27"/>
      <c r="M153" s="27"/>
      <c r="N153" s="1"/>
      <c r="O153" s="28"/>
      <c r="P153" s="1"/>
    </row>
    <row r="154" ht="26" spans="2:16">
      <c r="B154" s="1">
        <v>153</v>
      </c>
      <c r="C154" s="24" t="s">
        <v>537</v>
      </c>
      <c r="D154" s="24" t="s">
        <v>536</v>
      </c>
      <c r="E154" s="25"/>
      <c r="F154" s="24" t="s">
        <v>361</v>
      </c>
      <c r="G154" s="24"/>
      <c r="H154" s="1"/>
      <c r="I154" s="1"/>
      <c r="J154" s="29">
        <v>41395</v>
      </c>
      <c r="K154" s="1">
        <v>48.4656</v>
      </c>
      <c r="L154" s="27"/>
      <c r="M154" s="27"/>
      <c r="N154" s="1"/>
      <c r="O154" s="28"/>
      <c r="P154" s="1"/>
    </row>
    <row r="155" ht="26" spans="2:16">
      <c r="B155" s="1">
        <v>154</v>
      </c>
      <c r="C155" s="24" t="s">
        <v>538</v>
      </c>
      <c r="D155" s="24" t="s">
        <v>539</v>
      </c>
      <c r="E155" s="25"/>
      <c r="F155" s="24" t="s">
        <v>361</v>
      </c>
      <c r="G155" s="24"/>
      <c r="H155" s="1"/>
      <c r="I155" s="1"/>
      <c r="J155" s="29">
        <v>41395</v>
      </c>
      <c r="K155" s="1">
        <v>49.3809</v>
      </c>
      <c r="L155" s="27"/>
      <c r="M155" s="27"/>
      <c r="N155" s="1"/>
      <c r="O155" s="28"/>
      <c r="P155" s="1"/>
    </row>
    <row r="156" ht="26" spans="2:16">
      <c r="B156" s="1">
        <v>155</v>
      </c>
      <c r="C156" s="24" t="s">
        <v>540</v>
      </c>
      <c r="D156" s="24" t="s">
        <v>539</v>
      </c>
      <c r="E156" s="25"/>
      <c r="F156" s="24" t="s">
        <v>361</v>
      </c>
      <c r="G156" s="24"/>
      <c r="H156" s="1"/>
      <c r="I156" s="1"/>
      <c r="J156" s="29">
        <v>41395</v>
      </c>
      <c r="K156" s="1">
        <v>49.7</v>
      </c>
      <c r="L156" s="27"/>
      <c r="M156" s="27"/>
      <c r="N156" s="1"/>
      <c r="O156" s="28"/>
      <c r="P156" s="1"/>
    </row>
    <row r="157" ht="26" spans="2:16">
      <c r="B157" s="1">
        <v>156</v>
      </c>
      <c r="C157" s="24" t="s">
        <v>541</v>
      </c>
      <c r="D157" s="24" t="s">
        <v>542</v>
      </c>
      <c r="E157" s="14"/>
      <c r="F157" s="24" t="s">
        <v>361</v>
      </c>
      <c r="G157" s="24"/>
      <c r="H157" s="1"/>
      <c r="I157" s="1"/>
      <c r="J157" s="29"/>
      <c r="K157" s="1">
        <v>5</v>
      </c>
      <c r="L157" s="27"/>
      <c r="M157" s="27"/>
      <c r="N157" s="1"/>
      <c r="O157" s="28"/>
      <c r="P157" s="1"/>
    </row>
    <row r="158" spans="2:16">
      <c r="B158" s="1">
        <v>157</v>
      </c>
      <c r="C158" s="24" t="s">
        <v>543</v>
      </c>
      <c r="D158" s="24" t="s">
        <v>544</v>
      </c>
      <c r="E158" s="25"/>
      <c r="F158" s="24" t="s">
        <v>361</v>
      </c>
      <c r="G158" s="24"/>
      <c r="H158" s="1"/>
      <c r="I158" s="1"/>
      <c r="J158" s="29">
        <v>41836</v>
      </c>
      <c r="K158" s="1">
        <v>1.7</v>
      </c>
      <c r="L158" s="27"/>
      <c r="M158" s="27"/>
      <c r="N158" s="1"/>
      <c r="O158" s="28"/>
      <c r="P158" s="1"/>
    </row>
    <row r="159" ht="26" spans="2:16">
      <c r="B159" s="1">
        <v>158</v>
      </c>
      <c r="C159" s="24" t="s">
        <v>545</v>
      </c>
      <c r="D159" s="24" t="s">
        <v>546</v>
      </c>
      <c r="E159" s="25"/>
      <c r="F159" s="24" t="s">
        <v>361</v>
      </c>
      <c r="G159" s="24"/>
      <c r="H159" s="1"/>
      <c r="I159" s="1"/>
      <c r="J159" s="29">
        <v>41593</v>
      </c>
      <c r="K159" s="1">
        <v>43.2508</v>
      </c>
      <c r="L159" s="27"/>
      <c r="M159" s="27"/>
      <c r="N159" s="1"/>
      <c r="O159" s="28"/>
      <c r="P159" s="1"/>
    </row>
    <row r="160" ht="26" spans="2:16">
      <c r="B160" s="1">
        <v>159</v>
      </c>
      <c r="C160" s="24" t="s">
        <v>547</v>
      </c>
      <c r="D160" s="24" t="s">
        <v>451</v>
      </c>
      <c r="E160" s="25"/>
      <c r="F160" s="24" t="s">
        <v>453</v>
      </c>
      <c r="G160" s="24"/>
      <c r="H160" s="1"/>
      <c r="I160" s="1"/>
      <c r="J160" s="29">
        <v>41883</v>
      </c>
      <c r="K160" s="1"/>
      <c r="L160" s="27"/>
      <c r="M160" s="27"/>
      <c r="N160" s="1"/>
      <c r="O160" s="28"/>
      <c r="P160" s="1"/>
    </row>
    <row r="161" spans="2:16">
      <c r="B161" s="1">
        <v>160</v>
      </c>
      <c r="C161" s="24" t="s">
        <v>548</v>
      </c>
      <c r="D161" s="24" t="s">
        <v>485</v>
      </c>
      <c r="E161" s="25"/>
      <c r="F161" s="24" t="s">
        <v>401</v>
      </c>
      <c r="G161" s="24"/>
      <c r="H161" s="1"/>
      <c r="I161" s="1"/>
      <c r="J161" s="29">
        <v>41757</v>
      </c>
      <c r="K161" s="1"/>
      <c r="L161" s="27"/>
      <c r="M161" s="27"/>
      <c r="N161" s="1"/>
      <c r="O161" s="28"/>
      <c r="P161" s="1"/>
    </row>
    <row r="162" ht="26" spans="2:16">
      <c r="B162" s="1">
        <v>161</v>
      </c>
      <c r="C162" s="24" t="s">
        <v>549</v>
      </c>
      <c r="D162" s="24" t="s">
        <v>485</v>
      </c>
      <c r="E162" s="25"/>
      <c r="F162" s="24" t="s">
        <v>401</v>
      </c>
      <c r="G162" s="24"/>
      <c r="H162" s="1"/>
      <c r="I162" s="1"/>
      <c r="J162" s="29">
        <v>41779</v>
      </c>
      <c r="K162" s="1">
        <v>7</v>
      </c>
      <c r="L162" s="27"/>
      <c r="M162" s="27"/>
      <c r="N162" s="1"/>
      <c r="O162" s="28"/>
      <c r="P162" s="1"/>
    </row>
    <row r="163" ht="26" spans="2:16">
      <c r="B163" s="1">
        <v>162</v>
      </c>
      <c r="C163" s="24" t="s">
        <v>550</v>
      </c>
      <c r="D163" s="24" t="s">
        <v>485</v>
      </c>
      <c r="E163" s="25"/>
      <c r="F163" s="24" t="s">
        <v>365</v>
      </c>
      <c r="G163" s="24"/>
      <c r="H163" s="1"/>
      <c r="I163" s="1"/>
      <c r="J163" s="29">
        <v>41757</v>
      </c>
      <c r="K163" s="1"/>
      <c r="L163" s="27"/>
      <c r="M163" s="27"/>
      <c r="N163" s="1"/>
      <c r="O163" s="28"/>
      <c r="P163" s="1"/>
    </row>
    <row r="164" ht="26" spans="2:16">
      <c r="B164" s="1">
        <v>163</v>
      </c>
      <c r="C164" s="24" t="s">
        <v>551</v>
      </c>
      <c r="D164" s="24" t="s">
        <v>485</v>
      </c>
      <c r="E164" s="25"/>
      <c r="F164" s="24" t="s">
        <v>456</v>
      </c>
      <c r="G164" s="24"/>
      <c r="H164" s="1"/>
      <c r="I164" s="1"/>
      <c r="J164" s="29">
        <v>41779</v>
      </c>
      <c r="K164" s="1"/>
      <c r="L164" s="27"/>
      <c r="M164" s="27"/>
      <c r="N164" s="1"/>
      <c r="O164" s="28"/>
      <c r="P164" s="1"/>
    </row>
    <row r="165" ht="30.6" customHeight="1" spans="2:16">
      <c r="B165" s="1">
        <v>164</v>
      </c>
      <c r="C165" s="24" t="s">
        <v>552</v>
      </c>
      <c r="D165" s="24" t="s">
        <v>485</v>
      </c>
      <c r="E165" s="25"/>
      <c r="F165" s="24" t="s">
        <v>365</v>
      </c>
      <c r="G165" s="24"/>
      <c r="H165" s="1"/>
      <c r="I165" s="1"/>
      <c r="J165" s="29">
        <v>41698</v>
      </c>
      <c r="K165" s="1"/>
      <c r="L165" s="27"/>
      <c r="M165" s="27"/>
      <c r="N165" s="1"/>
      <c r="O165" s="28"/>
      <c r="P165" s="1"/>
    </row>
    <row r="166" ht="25.8" customHeight="1" spans="2:16">
      <c r="B166" s="1">
        <v>165</v>
      </c>
      <c r="C166" s="24" t="s">
        <v>553</v>
      </c>
      <c r="D166" s="24" t="s">
        <v>554</v>
      </c>
      <c r="E166" s="25"/>
      <c r="F166" s="24" t="s">
        <v>555</v>
      </c>
      <c r="G166" s="24"/>
      <c r="H166" s="1"/>
      <c r="I166" s="1"/>
      <c r="J166" s="29">
        <v>41905</v>
      </c>
      <c r="K166" s="1">
        <v>58.68</v>
      </c>
      <c r="L166" s="27"/>
      <c r="M166" s="27"/>
      <c r="N166" s="1"/>
      <c r="O166" s="28"/>
      <c r="P166" s="1"/>
    </row>
    <row r="167" ht="23.4" customHeight="1" spans="2:16">
      <c r="B167" s="1">
        <v>166</v>
      </c>
      <c r="C167" s="24" t="s">
        <v>556</v>
      </c>
      <c r="D167" s="24" t="s">
        <v>485</v>
      </c>
      <c r="E167" s="25"/>
      <c r="F167" s="24" t="s">
        <v>557</v>
      </c>
      <c r="G167" s="24"/>
      <c r="H167" s="1"/>
      <c r="I167" s="1"/>
      <c r="J167" s="29">
        <v>41904</v>
      </c>
      <c r="K167" s="1">
        <v>6</v>
      </c>
      <c r="L167" s="27"/>
      <c r="M167" s="27"/>
      <c r="N167" s="1"/>
      <c r="O167" s="28"/>
      <c r="P167" s="1"/>
    </row>
    <row r="168" ht="26" spans="2:16">
      <c r="B168" s="1">
        <v>167</v>
      </c>
      <c r="C168" s="24" t="s">
        <v>558</v>
      </c>
      <c r="D168" s="24" t="s">
        <v>485</v>
      </c>
      <c r="E168" s="25"/>
      <c r="F168" s="24" t="s">
        <v>401</v>
      </c>
      <c r="G168" s="24"/>
      <c r="H168" s="1"/>
      <c r="I168" s="1"/>
      <c r="J168" s="29">
        <v>41828</v>
      </c>
      <c r="K168" s="1"/>
      <c r="L168" s="27"/>
      <c r="M168" s="27"/>
      <c r="N168" s="1"/>
      <c r="O168" s="28"/>
      <c r="P168" s="1"/>
    </row>
    <row r="169" ht="26" spans="2:16">
      <c r="B169" s="1">
        <v>168</v>
      </c>
      <c r="C169" s="24" t="s">
        <v>559</v>
      </c>
      <c r="D169" s="24" t="s">
        <v>485</v>
      </c>
      <c r="E169" s="25"/>
      <c r="F169" s="24" t="s">
        <v>401</v>
      </c>
      <c r="G169" s="24"/>
      <c r="H169" s="1"/>
      <c r="I169" s="1"/>
      <c r="J169" s="29">
        <v>41808</v>
      </c>
      <c r="K169" s="1"/>
      <c r="L169" s="27"/>
      <c r="M169" s="27"/>
      <c r="N169" s="1"/>
      <c r="O169" s="28"/>
      <c r="P169" s="1"/>
    </row>
    <row r="170" ht="38.4" customHeight="1" spans="2:16">
      <c r="B170" s="1">
        <v>169</v>
      </c>
      <c r="C170" s="24" t="s">
        <v>560</v>
      </c>
      <c r="D170" s="24" t="s">
        <v>485</v>
      </c>
      <c r="E170" s="25"/>
      <c r="F170" s="24" t="s">
        <v>365</v>
      </c>
      <c r="G170" s="24"/>
      <c r="H170" s="1"/>
      <c r="I170" s="1"/>
      <c r="J170" s="29">
        <v>41857</v>
      </c>
      <c r="K170" s="1"/>
      <c r="L170" s="27"/>
      <c r="M170" s="27"/>
      <c r="N170" s="1"/>
      <c r="O170" s="28"/>
      <c r="P170" s="1"/>
    </row>
    <row r="171" ht="31.8" customHeight="1" spans="2:16">
      <c r="B171" s="1">
        <v>170</v>
      </c>
      <c r="C171" s="24" t="s">
        <v>561</v>
      </c>
      <c r="D171" s="24" t="s">
        <v>485</v>
      </c>
      <c r="E171" s="25"/>
      <c r="F171" s="24" t="s">
        <v>562</v>
      </c>
      <c r="G171" s="24"/>
      <c r="H171" s="1"/>
      <c r="I171" s="1"/>
      <c r="J171" s="29">
        <v>41850</v>
      </c>
      <c r="K171" s="1"/>
      <c r="L171" s="27"/>
      <c r="M171" s="27"/>
      <c r="N171" s="1"/>
      <c r="O171" s="28"/>
      <c r="P171" s="1"/>
    </row>
    <row r="172" ht="23.4" customHeight="1" spans="2:16">
      <c r="B172" s="1">
        <v>171</v>
      </c>
      <c r="C172" s="24" t="s">
        <v>563</v>
      </c>
      <c r="D172" s="24" t="s">
        <v>564</v>
      </c>
      <c r="E172" s="25"/>
      <c r="F172" s="24" t="s">
        <v>565</v>
      </c>
      <c r="G172" s="24"/>
      <c r="H172" s="1"/>
      <c r="I172" s="1"/>
      <c r="J172" s="29">
        <v>41988</v>
      </c>
      <c r="K172" s="1">
        <v>34.84</v>
      </c>
      <c r="L172" s="27"/>
      <c r="M172" s="27"/>
      <c r="N172" s="1"/>
      <c r="O172" s="28"/>
      <c r="P172" s="1"/>
    </row>
    <row r="173" spans="2:16">
      <c r="B173" s="1">
        <v>172</v>
      </c>
      <c r="C173" s="24" t="s">
        <v>566</v>
      </c>
      <c r="D173" s="24" t="s">
        <v>567</v>
      </c>
      <c r="E173" s="14"/>
      <c r="F173" s="24" t="s">
        <v>365</v>
      </c>
      <c r="G173" s="24"/>
      <c r="H173" s="1"/>
      <c r="I173" s="1"/>
      <c r="J173" s="29"/>
      <c r="K173" s="1">
        <v>17.2962</v>
      </c>
      <c r="L173" s="27"/>
      <c r="M173" s="27"/>
      <c r="N173" s="1"/>
      <c r="O173" s="28"/>
      <c r="P173" s="1"/>
    </row>
    <row r="174" ht="26" spans="2:16">
      <c r="B174" s="1">
        <v>173</v>
      </c>
      <c r="C174" s="24" t="s">
        <v>568</v>
      </c>
      <c r="D174" s="24" t="s">
        <v>414</v>
      </c>
      <c r="E174" s="25"/>
      <c r="F174" s="24" t="s">
        <v>569</v>
      </c>
      <c r="G174" s="24"/>
      <c r="H174" s="1"/>
      <c r="I174" s="1"/>
      <c r="J174" s="29">
        <v>41416</v>
      </c>
      <c r="K174" s="1"/>
      <c r="L174" s="27"/>
      <c r="M174" s="27"/>
      <c r="N174" s="1"/>
      <c r="O174" s="28"/>
      <c r="P174" s="1"/>
    </row>
    <row r="175" spans="2:16">
      <c r="B175" s="1">
        <v>174</v>
      </c>
      <c r="C175" s="24" t="s">
        <v>570</v>
      </c>
      <c r="D175" s="24" t="s">
        <v>571</v>
      </c>
      <c r="E175" s="25"/>
      <c r="F175" s="24" t="s">
        <v>572</v>
      </c>
      <c r="G175" s="24"/>
      <c r="H175" s="1"/>
      <c r="I175" s="1"/>
      <c r="J175" s="29">
        <v>41848</v>
      </c>
      <c r="K175" s="1"/>
      <c r="L175" s="27"/>
      <c r="M175" s="27"/>
      <c r="N175" s="1"/>
      <c r="O175" s="28"/>
      <c r="P175" s="1"/>
    </row>
    <row r="176" spans="2:16">
      <c r="B176" s="1">
        <v>175</v>
      </c>
      <c r="C176" s="24" t="s">
        <v>573</v>
      </c>
      <c r="D176" s="24" t="s">
        <v>341</v>
      </c>
      <c r="E176" s="25"/>
      <c r="F176" s="24" t="s">
        <v>572</v>
      </c>
      <c r="G176" s="24"/>
      <c r="H176" s="1"/>
      <c r="I176" s="1"/>
      <c r="J176" s="29">
        <v>41835</v>
      </c>
      <c r="K176" s="1"/>
      <c r="L176" s="27"/>
      <c r="M176" s="27"/>
      <c r="N176" s="1"/>
      <c r="O176" s="28"/>
      <c r="P176" s="1"/>
    </row>
    <row r="177" ht="26" spans="2:16">
      <c r="B177" s="1">
        <v>176</v>
      </c>
      <c r="C177" s="24" t="s">
        <v>574</v>
      </c>
      <c r="D177" s="24" t="s">
        <v>575</v>
      </c>
      <c r="E177" s="25"/>
      <c r="F177" s="24" t="s">
        <v>509</v>
      </c>
      <c r="G177" s="24"/>
      <c r="H177" s="1"/>
      <c r="I177" s="1"/>
      <c r="J177" s="29">
        <v>42032</v>
      </c>
      <c r="K177" s="1">
        <v>36.4981</v>
      </c>
      <c r="L177" s="27"/>
      <c r="M177" s="27"/>
      <c r="N177" s="1"/>
      <c r="O177" s="28"/>
      <c r="P177" s="1"/>
    </row>
    <row r="178" ht="26" spans="2:16">
      <c r="B178" s="1">
        <v>177</v>
      </c>
      <c r="C178" s="24" t="s">
        <v>576</v>
      </c>
      <c r="D178" s="24" t="s">
        <v>577</v>
      </c>
      <c r="E178" s="25"/>
      <c r="F178" s="24" t="s">
        <v>361</v>
      </c>
      <c r="G178" s="24"/>
      <c r="H178" s="1"/>
      <c r="I178" s="1"/>
      <c r="J178" s="29">
        <v>42064</v>
      </c>
      <c r="K178" s="1">
        <v>1</v>
      </c>
      <c r="L178" s="27"/>
      <c r="M178" s="27"/>
      <c r="N178" s="1"/>
      <c r="O178" s="28"/>
      <c r="P178" s="1"/>
    </row>
    <row r="179" spans="2:16">
      <c r="B179" s="1">
        <v>178</v>
      </c>
      <c r="C179" s="24" t="s">
        <v>578</v>
      </c>
      <c r="D179" s="24" t="s">
        <v>577</v>
      </c>
      <c r="E179" s="25"/>
      <c r="F179" s="24" t="s">
        <v>361</v>
      </c>
      <c r="G179" s="24"/>
      <c r="H179" s="1"/>
      <c r="I179" s="1"/>
      <c r="J179" s="29">
        <v>41821</v>
      </c>
      <c r="K179" s="1">
        <v>9.5</v>
      </c>
      <c r="L179" s="27"/>
      <c r="M179" s="27"/>
      <c r="N179" s="1"/>
      <c r="O179" s="28"/>
      <c r="P179" s="1"/>
    </row>
    <row r="180" ht="26" spans="2:16">
      <c r="B180" s="1">
        <v>179</v>
      </c>
      <c r="C180" s="24" t="s">
        <v>579</v>
      </c>
      <c r="D180" s="24" t="s">
        <v>580</v>
      </c>
      <c r="E180" s="25"/>
      <c r="F180" s="24" t="s">
        <v>361</v>
      </c>
      <c r="G180" s="24"/>
      <c r="H180" s="1"/>
      <c r="I180" s="1"/>
      <c r="J180" s="29">
        <v>42095</v>
      </c>
      <c r="K180" s="1">
        <v>4.8</v>
      </c>
      <c r="L180" s="27"/>
      <c r="M180" s="27"/>
      <c r="N180" s="1"/>
      <c r="O180" s="28"/>
      <c r="P180" s="1"/>
    </row>
    <row r="181" ht="26" spans="2:16">
      <c r="B181" s="1">
        <v>180</v>
      </c>
      <c r="C181" s="24" t="s">
        <v>581</v>
      </c>
      <c r="D181" s="24" t="s">
        <v>582</v>
      </c>
      <c r="E181" s="25"/>
      <c r="F181" s="24" t="s">
        <v>583</v>
      </c>
      <c r="G181" s="24"/>
      <c r="H181" s="1"/>
      <c r="I181" s="1"/>
      <c r="J181" s="29">
        <v>41958</v>
      </c>
      <c r="K181" s="1">
        <v>22.6</v>
      </c>
      <c r="L181" s="27"/>
      <c r="M181" s="27"/>
      <c r="N181" s="1"/>
      <c r="O181" s="28"/>
      <c r="P181" s="1"/>
    </row>
    <row r="182" ht="26" spans="2:16">
      <c r="B182" s="1">
        <v>181</v>
      </c>
      <c r="C182" s="24" t="s">
        <v>584</v>
      </c>
      <c r="D182" s="24" t="s">
        <v>341</v>
      </c>
      <c r="E182" s="25"/>
      <c r="F182" s="24" t="s">
        <v>583</v>
      </c>
      <c r="G182" s="24"/>
      <c r="H182" s="1"/>
      <c r="I182" s="1"/>
      <c r="J182" s="29">
        <v>41999</v>
      </c>
      <c r="K182" s="1"/>
      <c r="L182" s="27"/>
      <c r="M182" s="27"/>
      <c r="N182" s="1"/>
      <c r="O182" s="28"/>
      <c r="P182" s="1"/>
    </row>
    <row r="183" ht="26" spans="2:16">
      <c r="B183" s="1">
        <v>182</v>
      </c>
      <c r="C183" s="14" t="s">
        <v>585</v>
      </c>
      <c r="D183" s="14" t="s">
        <v>586</v>
      </c>
      <c r="E183" s="25"/>
      <c r="F183" s="14" t="s">
        <v>365</v>
      </c>
      <c r="G183" s="14"/>
      <c r="H183" s="23"/>
      <c r="I183" s="23"/>
      <c r="J183" s="26">
        <v>41900</v>
      </c>
      <c r="K183" s="23">
        <v>57.8</v>
      </c>
      <c r="L183" s="27"/>
      <c r="M183" s="27"/>
      <c r="N183" s="1"/>
      <c r="O183" s="28"/>
      <c r="P183" s="1"/>
    </row>
    <row r="184" ht="26" spans="2:16">
      <c r="B184" s="1">
        <v>183</v>
      </c>
      <c r="C184" s="24" t="s">
        <v>587</v>
      </c>
      <c r="D184" s="24" t="s">
        <v>393</v>
      </c>
      <c r="E184" s="25"/>
      <c r="F184" s="24" t="s">
        <v>572</v>
      </c>
      <c r="G184" s="24"/>
      <c r="H184" s="1"/>
      <c r="I184" s="1"/>
      <c r="J184" s="29">
        <v>41133</v>
      </c>
      <c r="K184" s="1">
        <v>48</v>
      </c>
      <c r="L184" s="27"/>
      <c r="M184" s="27"/>
      <c r="N184" s="1"/>
      <c r="O184" s="28"/>
      <c r="P184" s="1"/>
    </row>
    <row r="185" spans="2:16">
      <c r="B185" s="1">
        <v>184</v>
      </c>
      <c r="C185" s="24" t="s">
        <v>588</v>
      </c>
      <c r="D185" s="24" t="s">
        <v>469</v>
      </c>
      <c r="E185" s="25"/>
      <c r="F185" s="24" t="s">
        <v>365</v>
      </c>
      <c r="G185" s="24"/>
      <c r="H185" s="1"/>
      <c r="I185" s="1"/>
      <c r="J185" s="29">
        <v>42064</v>
      </c>
      <c r="K185" s="1">
        <v>46</v>
      </c>
      <c r="L185" s="27"/>
      <c r="M185" s="27"/>
      <c r="N185" s="1"/>
      <c r="O185" s="28"/>
      <c r="P185" s="1"/>
    </row>
    <row r="186" ht="26" spans="2:16">
      <c r="B186" s="1">
        <v>185</v>
      </c>
      <c r="C186" s="24" t="s">
        <v>589</v>
      </c>
      <c r="D186" s="24" t="s">
        <v>590</v>
      </c>
      <c r="E186" s="25"/>
      <c r="F186" s="24" t="s">
        <v>361</v>
      </c>
      <c r="G186" s="24"/>
      <c r="H186" s="1"/>
      <c r="I186" s="1"/>
      <c r="J186" s="29">
        <v>42014</v>
      </c>
      <c r="K186" s="1">
        <v>39.1829</v>
      </c>
      <c r="L186" s="27"/>
      <c r="M186" s="27"/>
      <c r="N186" s="1"/>
      <c r="O186" s="28"/>
      <c r="P186" s="1"/>
    </row>
    <row r="187" ht="25.8" customHeight="1" spans="2:16">
      <c r="B187" s="1">
        <v>186</v>
      </c>
      <c r="C187" s="24" t="s">
        <v>591</v>
      </c>
      <c r="D187" s="24" t="s">
        <v>592</v>
      </c>
      <c r="E187" s="25"/>
      <c r="F187" s="24" t="s">
        <v>361</v>
      </c>
      <c r="G187" s="24"/>
      <c r="H187" s="1"/>
      <c r="I187" s="1"/>
      <c r="J187" s="29">
        <v>42289</v>
      </c>
      <c r="K187" s="1">
        <v>2.8</v>
      </c>
      <c r="L187" s="27"/>
      <c r="M187" s="27"/>
      <c r="N187" s="1"/>
      <c r="O187" s="28"/>
      <c r="P187" s="1"/>
    </row>
    <row r="188" ht="30" customHeight="1" spans="2:16">
      <c r="B188" s="1">
        <v>187</v>
      </c>
      <c r="C188" s="24" t="s">
        <v>593</v>
      </c>
      <c r="D188" s="24" t="s">
        <v>564</v>
      </c>
      <c r="E188" s="25"/>
      <c r="F188" s="24" t="s">
        <v>365</v>
      </c>
      <c r="G188" s="24"/>
      <c r="H188" s="1"/>
      <c r="I188" s="1"/>
      <c r="J188" s="29">
        <v>38595</v>
      </c>
      <c r="K188" s="1"/>
      <c r="L188" s="27"/>
      <c r="M188" s="27"/>
      <c r="N188" s="1"/>
      <c r="O188" s="28"/>
      <c r="P188" s="1"/>
    </row>
    <row r="189" ht="30" customHeight="1" spans="2:16">
      <c r="B189" s="1">
        <v>188</v>
      </c>
      <c r="C189" s="24" t="s">
        <v>594</v>
      </c>
      <c r="D189" s="24" t="s">
        <v>564</v>
      </c>
      <c r="E189" s="25"/>
      <c r="F189" s="24" t="s">
        <v>365</v>
      </c>
      <c r="G189" s="24"/>
      <c r="H189" s="1"/>
      <c r="I189" s="1"/>
      <c r="J189" s="29">
        <v>38595</v>
      </c>
      <c r="K189" s="1"/>
      <c r="L189" s="27"/>
      <c r="M189" s="27"/>
      <c r="N189" s="1"/>
      <c r="O189" s="28"/>
      <c r="P189" s="1"/>
    </row>
    <row r="190" ht="26" spans="2:16">
      <c r="B190" s="1">
        <v>189</v>
      </c>
      <c r="C190" s="24" t="s">
        <v>595</v>
      </c>
      <c r="D190" s="24" t="s">
        <v>596</v>
      </c>
      <c r="E190" s="25"/>
      <c r="F190" s="24" t="s">
        <v>572</v>
      </c>
      <c r="G190" s="24"/>
      <c r="H190" s="1"/>
      <c r="I190" s="1"/>
      <c r="J190" s="29">
        <v>42116</v>
      </c>
      <c r="K190" s="1">
        <v>56</v>
      </c>
      <c r="L190" s="27"/>
      <c r="M190" s="27"/>
      <c r="N190" s="1"/>
      <c r="O190" s="28"/>
      <c r="P190" s="1"/>
    </row>
    <row r="191" ht="26" spans="2:16">
      <c r="B191" s="1">
        <v>190</v>
      </c>
      <c r="C191" s="24" t="s">
        <v>597</v>
      </c>
      <c r="D191" s="24" t="s">
        <v>596</v>
      </c>
      <c r="E191" s="25"/>
      <c r="F191" s="24" t="s">
        <v>572</v>
      </c>
      <c r="G191" s="24"/>
      <c r="H191" s="1"/>
      <c r="I191" s="1"/>
      <c r="J191" s="29">
        <v>42116</v>
      </c>
      <c r="K191" s="1">
        <v>62</v>
      </c>
      <c r="L191" s="27"/>
      <c r="M191" s="27"/>
      <c r="N191" s="1"/>
      <c r="O191" s="28"/>
      <c r="P191" s="1"/>
    </row>
    <row r="192" ht="26" spans="2:16">
      <c r="B192" s="1">
        <v>191</v>
      </c>
      <c r="C192" s="24" t="s">
        <v>598</v>
      </c>
      <c r="D192" s="24" t="s">
        <v>599</v>
      </c>
      <c r="E192" s="25"/>
      <c r="F192" s="24" t="s">
        <v>600</v>
      </c>
      <c r="G192" s="24"/>
      <c r="H192" s="1"/>
      <c r="I192" s="1"/>
      <c r="J192" s="29">
        <v>42221</v>
      </c>
      <c r="K192" s="1"/>
      <c r="L192" s="27"/>
      <c r="M192" s="27"/>
      <c r="N192" s="1"/>
      <c r="O192" s="28"/>
      <c r="P192" s="1"/>
    </row>
    <row r="193" ht="26" spans="2:16">
      <c r="B193" s="1">
        <v>192</v>
      </c>
      <c r="C193" s="24" t="s">
        <v>601</v>
      </c>
      <c r="D193" s="24" t="s">
        <v>599</v>
      </c>
      <c r="E193" s="25"/>
      <c r="F193" s="24" t="s">
        <v>600</v>
      </c>
      <c r="G193" s="24"/>
      <c r="H193" s="1"/>
      <c r="I193" s="1"/>
      <c r="J193" s="29">
        <v>42221</v>
      </c>
      <c r="K193" s="1">
        <v>91.1454</v>
      </c>
      <c r="L193" s="27"/>
      <c r="M193" s="27"/>
      <c r="N193" s="1"/>
      <c r="O193" s="28"/>
      <c r="P193" s="1"/>
    </row>
    <row r="194" ht="26" spans="2:16">
      <c r="B194" s="1">
        <v>193</v>
      </c>
      <c r="C194" s="24" t="s">
        <v>602</v>
      </c>
      <c r="D194" s="24" t="s">
        <v>408</v>
      </c>
      <c r="E194" s="25"/>
      <c r="F194" s="24" t="s">
        <v>367</v>
      </c>
      <c r="G194" s="24"/>
      <c r="H194" s="1"/>
      <c r="I194" s="1"/>
      <c r="J194" s="29">
        <v>40596</v>
      </c>
      <c r="K194" s="1"/>
      <c r="L194" s="27"/>
      <c r="M194" s="27"/>
      <c r="N194" s="1"/>
      <c r="O194" s="28"/>
      <c r="P194" s="1"/>
    </row>
    <row r="195" spans="2:16">
      <c r="B195" s="1">
        <v>194</v>
      </c>
      <c r="C195" s="24" t="s">
        <v>603</v>
      </c>
      <c r="D195" s="24" t="s">
        <v>485</v>
      </c>
      <c r="E195" s="25"/>
      <c r="F195" s="24" t="s">
        <v>604</v>
      </c>
      <c r="G195" s="24"/>
      <c r="H195" s="1"/>
      <c r="I195" s="1"/>
      <c r="J195" s="29">
        <v>42012</v>
      </c>
      <c r="K195" s="1"/>
      <c r="L195" s="27"/>
      <c r="M195" s="27"/>
      <c r="N195" s="1"/>
      <c r="O195" s="28"/>
      <c r="P195" s="1"/>
    </row>
    <row r="196" ht="39" spans="2:16">
      <c r="B196" s="1">
        <v>195</v>
      </c>
      <c r="C196" s="24" t="s">
        <v>605</v>
      </c>
      <c r="D196" s="24" t="s">
        <v>485</v>
      </c>
      <c r="E196" s="25"/>
      <c r="F196" s="24" t="s">
        <v>606</v>
      </c>
      <c r="G196" s="24"/>
      <c r="H196" s="1"/>
      <c r="I196" s="1"/>
      <c r="J196" s="29">
        <v>41747</v>
      </c>
      <c r="K196" s="1"/>
      <c r="L196" s="27"/>
      <c r="M196" s="27"/>
      <c r="N196" s="1"/>
      <c r="O196" s="28"/>
      <c r="P196" s="1"/>
    </row>
    <row r="197" ht="26" spans="2:16">
      <c r="B197" s="1">
        <v>196</v>
      </c>
      <c r="C197" s="24" t="s">
        <v>607</v>
      </c>
      <c r="D197" s="24" t="s">
        <v>485</v>
      </c>
      <c r="E197" s="25"/>
      <c r="F197" s="24" t="s">
        <v>608</v>
      </c>
      <c r="G197" s="24"/>
      <c r="H197" s="1"/>
      <c r="I197" s="1"/>
      <c r="J197" s="29">
        <v>42073</v>
      </c>
      <c r="K197" s="1"/>
      <c r="L197" s="27"/>
      <c r="M197" s="27"/>
      <c r="N197" s="1"/>
      <c r="O197" s="28"/>
      <c r="P197" s="1"/>
    </row>
    <row r="198" ht="26" spans="2:16">
      <c r="B198" s="1">
        <v>197</v>
      </c>
      <c r="C198" s="24" t="s">
        <v>609</v>
      </c>
      <c r="D198" s="24" t="s">
        <v>497</v>
      </c>
      <c r="E198" s="25"/>
      <c r="F198" s="24" t="s">
        <v>610</v>
      </c>
      <c r="G198" s="24"/>
      <c r="H198" s="1"/>
      <c r="I198" s="1"/>
      <c r="J198" s="29">
        <v>42366</v>
      </c>
      <c r="K198" s="1">
        <v>44</v>
      </c>
      <c r="L198" s="27"/>
      <c r="M198" s="27"/>
      <c r="N198" s="1"/>
      <c r="O198" s="28"/>
      <c r="P198" s="1"/>
    </row>
    <row r="199" ht="26" spans="2:16">
      <c r="B199" s="1">
        <v>198</v>
      </c>
      <c r="C199" s="24" t="s">
        <v>611</v>
      </c>
      <c r="D199" s="24" t="s">
        <v>612</v>
      </c>
      <c r="E199" s="25"/>
      <c r="F199" s="24" t="s">
        <v>610</v>
      </c>
      <c r="G199" s="24"/>
      <c r="H199" s="1"/>
      <c r="I199" s="1"/>
      <c r="J199" s="29">
        <v>41973</v>
      </c>
      <c r="K199" s="1">
        <v>33</v>
      </c>
      <c r="L199" s="27"/>
      <c r="M199" s="27"/>
      <c r="N199" s="1"/>
      <c r="O199" s="28"/>
      <c r="P199" s="1"/>
    </row>
    <row r="200" ht="26" spans="2:16">
      <c r="B200" s="1">
        <v>199</v>
      </c>
      <c r="C200" s="24" t="s">
        <v>613</v>
      </c>
      <c r="D200" s="24" t="s">
        <v>564</v>
      </c>
      <c r="E200" s="25"/>
      <c r="F200" s="24" t="s">
        <v>401</v>
      </c>
      <c r="G200" s="24"/>
      <c r="H200" s="1"/>
      <c r="I200" s="1"/>
      <c r="J200" s="29">
        <v>42395</v>
      </c>
      <c r="K200" s="1">
        <v>27.76</v>
      </c>
      <c r="L200" s="27"/>
      <c r="M200" s="27"/>
      <c r="N200" s="1"/>
      <c r="O200" s="28"/>
      <c r="P200" s="1"/>
    </row>
    <row r="201" ht="39" spans="2:16">
      <c r="B201" s="1">
        <v>200</v>
      </c>
      <c r="C201" s="24" t="s">
        <v>614</v>
      </c>
      <c r="D201" s="24" t="s">
        <v>615</v>
      </c>
      <c r="E201" s="25"/>
      <c r="F201" s="24" t="s">
        <v>616</v>
      </c>
      <c r="G201" s="24"/>
      <c r="H201" s="1"/>
      <c r="I201" s="1"/>
      <c r="J201" s="29">
        <v>42318</v>
      </c>
      <c r="K201" s="1"/>
      <c r="L201" s="27"/>
      <c r="M201" s="27"/>
      <c r="N201" s="1"/>
      <c r="O201" s="28"/>
      <c r="P201" s="1"/>
    </row>
    <row r="202" spans="2:16">
      <c r="B202" s="1">
        <v>201</v>
      </c>
      <c r="C202" s="24" t="s">
        <v>617</v>
      </c>
      <c r="D202" s="24" t="s">
        <v>618</v>
      </c>
      <c r="E202" s="25"/>
      <c r="F202" s="24"/>
      <c r="G202" s="24"/>
      <c r="H202" s="1"/>
      <c r="I202" s="1"/>
      <c r="J202" s="29">
        <v>42508</v>
      </c>
      <c r="K202" s="1"/>
      <c r="L202" s="27"/>
      <c r="M202" s="27"/>
      <c r="N202" s="1"/>
      <c r="O202" s="28"/>
      <c r="P202" s="1"/>
    </row>
    <row r="203" ht="26" spans="2:16">
      <c r="B203" s="1">
        <v>202</v>
      </c>
      <c r="C203" s="24" t="s">
        <v>619</v>
      </c>
      <c r="D203" s="24" t="s">
        <v>620</v>
      </c>
      <c r="E203" s="25"/>
      <c r="F203" s="24" t="s">
        <v>621</v>
      </c>
      <c r="G203" s="24"/>
      <c r="H203" s="1"/>
      <c r="I203" s="1"/>
      <c r="J203" s="29">
        <v>42460</v>
      </c>
      <c r="K203" s="1"/>
      <c r="L203" s="27"/>
      <c r="M203" s="27"/>
      <c r="N203" s="1"/>
      <c r="O203" s="28"/>
      <c r="P203" s="1"/>
    </row>
    <row r="204" spans="2:16">
      <c r="B204" s="1">
        <v>203</v>
      </c>
      <c r="C204" s="24" t="s">
        <v>622</v>
      </c>
      <c r="D204" s="24" t="s">
        <v>382</v>
      </c>
      <c r="E204" s="25"/>
      <c r="F204" s="24"/>
      <c r="G204" s="24"/>
      <c r="H204" s="1"/>
      <c r="I204" s="1"/>
      <c r="J204" s="29">
        <v>42535</v>
      </c>
      <c r="K204" s="1"/>
      <c r="L204" s="27"/>
      <c r="M204" s="27"/>
      <c r="N204" s="1"/>
      <c r="O204" s="28"/>
      <c r="P204" s="1"/>
    </row>
    <row r="205" spans="2:16">
      <c r="B205" s="1">
        <v>204</v>
      </c>
      <c r="C205" s="24" t="s">
        <v>623</v>
      </c>
      <c r="D205" s="24" t="s">
        <v>382</v>
      </c>
      <c r="E205" s="25"/>
      <c r="F205" s="24"/>
      <c r="G205" s="24"/>
      <c r="H205" s="1"/>
      <c r="I205" s="1"/>
      <c r="J205" s="29">
        <v>42535</v>
      </c>
      <c r="K205" s="1"/>
      <c r="L205" s="27"/>
      <c r="M205" s="27"/>
      <c r="N205" s="1"/>
      <c r="O205" s="28"/>
      <c r="P205" s="1"/>
    </row>
    <row r="206" ht="26" spans="2:16">
      <c r="B206" s="1">
        <v>205</v>
      </c>
      <c r="C206" s="24" t="s">
        <v>624</v>
      </c>
      <c r="D206" s="24" t="s">
        <v>625</v>
      </c>
      <c r="E206" s="25"/>
      <c r="F206" s="24" t="s">
        <v>626</v>
      </c>
      <c r="G206" s="24"/>
      <c r="H206" s="1"/>
      <c r="I206" s="1"/>
      <c r="J206" s="29">
        <v>42430</v>
      </c>
      <c r="K206" s="1"/>
      <c r="L206" s="27"/>
      <c r="M206" s="27"/>
      <c r="N206" s="1"/>
      <c r="O206" s="28"/>
      <c r="P206" s="1"/>
    </row>
    <row r="207" ht="26" spans="2:16">
      <c r="B207" s="1">
        <v>206</v>
      </c>
      <c r="C207" s="24" t="s">
        <v>627</v>
      </c>
      <c r="D207" s="24" t="s">
        <v>628</v>
      </c>
      <c r="E207" s="25"/>
      <c r="F207" s="24" t="s">
        <v>361</v>
      </c>
      <c r="G207" s="24"/>
      <c r="H207" s="1"/>
      <c r="I207" s="1"/>
      <c r="J207" s="29">
        <v>42522</v>
      </c>
      <c r="K207" s="1">
        <v>5</v>
      </c>
      <c r="L207" s="27"/>
      <c r="M207" s="27"/>
      <c r="N207" s="1"/>
      <c r="O207" s="28"/>
      <c r="P207" s="1"/>
    </row>
    <row r="208" ht="26" spans="2:16">
      <c r="B208" s="1">
        <v>207</v>
      </c>
      <c r="C208" s="24" t="s">
        <v>629</v>
      </c>
      <c r="D208" s="24" t="s">
        <v>620</v>
      </c>
      <c r="E208" s="25"/>
      <c r="F208" s="24" t="s">
        <v>621</v>
      </c>
      <c r="G208" s="24"/>
      <c r="H208" s="1"/>
      <c r="I208" s="1"/>
      <c r="J208" s="29">
        <v>42486</v>
      </c>
      <c r="K208" s="1"/>
      <c r="L208" s="27"/>
      <c r="M208" s="27"/>
      <c r="N208" s="1"/>
      <c r="O208" s="28"/>
      <c r="P208" s="1"/>
    </row>
    <row r="209" ht="26" spans="2:16">
      <c r="B209" s="1">
        <v>208</v>
      </c>
      <c r="C209" s="24" t="s">
        <v>630</v>
      </c>
      <c r="D209" s="24" t="s">
        <v>620</v>
      </c>
      <c r="E209" s="25"/>
      <c r="F209" s="24" t="s">
        <v>621</v>
      </c>
      <c r="G209" s="24"/>
      <c r="H209" s="1"/>
      <c r="I209" s="1"/>
      <c r="J209" s="29">
        <v>42520</v>
      </c>
      <c r="K209" s="1"/>
      <c r="L209" s="27"/>
      <c r="M209" s="27"/>
      <c r="N209" s="1"/>
      <c r="O209" s="28"/>
      <c r="P209" s="1"/>
    </row>
    <row r="210" ht="26" spans="2:16">
      <c r="B210" s="1">
        <v>209</v>
      </c>
      <c r="C210" s="24" t="s">
        <v>631</v>
      </c>
      <c r="D210" s="24" t="s">
        <v>620</v>
      </c>
      <c r="E210" s="25"/>
      <c r="F210" s="24" t="s">
        <v>621</v>
      </c>
      <c r="G210" s="24"/>
      <c r="H210" s="1"/>
      <c r="I210" s="1"/>
      <c r="J210" s="29">
        <v>42523</v>
      </c>
      <c r="K210" s="1"/>
      <c r="L210" s="27"/>
      <c r="M210" s="27"/>
      <c r="N210" s="1"/>
      <c r="O210" s="28"/>
      <c r="P210" s="1"/>
    </row>
    <row r="211" ht="39" spans="2:16">
      <c r="B211" s="1">
        <v>210</v>
      </c>
      <c r="C211" s="24" t="s">
        <v>632</v>
      </c>
      <c r="D211" s="24" t="s">
        <v>633</v>
      </c>
      <c r="E211" s="25"/>
      <c r="F211" s="24" t="s">
        <v>634</v>
      </c>
      <c r="G211" s="24"/>
      <c r="H211" s="1"/>
      <c r="I211" s="1"/>
      <c r="J211" s="29">
        <v>42465</v>
      </c>
      <c r="K211" s="1">
        <v>64.5668</v>
      </c>
      <c r="L211" s="27"/>
      <c r="M211" s="27"/>
      <c r="N211" s="1"/>
      <c r="O211" s="28"/>
      <c r="P211" s="1"/>
    </row>
    <row r="212" ht="39" spans="2:16">
      <c r="B212" s="1">
        <v>211</v>
      </c>
      <c r="C212" s="24" t="s">
        <v>635</v>
      </c>
      <c r="D212" s="24" t="s">
        <v>564</v>
      </c>
      <c r="E212" s="14"/>
      <c r="F212" s="24" t="s">
        <v>365</v>
      </c>
      <c r="G212" s="24"/>
      <c r="H212" s="1"/>
      <c r="I212" s="1"/>
      <c r="J212" s="29"/>
      <c r="K212" s="1">
        <v>95.31</v>
      </c>
      <c r="L212" s="27"/>
      <c r="M212" s="27"/>
      <c r="N212" s="1"/>
      <c r="O212" s="28"/>
      <c r="P212" s="1"/>
    </row>
    <row r="213" ht="26" spans="2:16">
      <c r="B213" s="1">
        <v>212</v>
      </c>
      <c r="C213" s="24" t="s">
        <v>636</v>
      </c>
      <c r="D213" s="24" t="s">
        <v>564</v>
      </c>
      <c r="E213" s="14"/>
      <c r="F213" s="24" t="s">
        <v>365</v>
      </c>
      <c r="G213" s="24"/>
      <c r="H213" s="1"/>
      <c r="I213" s="1"/>
      <c r="J213" s="29"/>
      <c r="K213" s="1">
        <v>41.97</v>
      </c>
      <c r="L213" s="27"/>
      <c r="M213" s="27"/>
      <c r="N213" s="1"/>
      <c r="O213" s="28"/>
      <c r="P213" s="1"/>
    </row>
    <row r="214" ht="26" spans="2:16">
      <c r="B214" s="1">
        <v>213</v>
      </c>
      <c r="C214" s="24" t="s">
        <v>637</v>
      </c>
      <c r="D214" s="24" t="s">
        <v>564</v>
      </c>
      <c r="E214" s="14"/>
      <c r="F214" s="24" t="s">
        <v>365</v>
      </c>
      <c r="G214" s="24"/>
      <c r="H214" s="1"/>
      <c r="I214" s="1"/>
      <c r="J214" s="29"/>
      <c r="K214" s="1">
        <v>21.3095</v>
      </c>
      <c r="L214" s="27"/>
      <c r="M214" s="27"/>
      <c r="N214" s="1"/>
      <c r="O214" s="28"/>
      <c r="P214" s="1"/>
    </row>
    <row r="215" ht="26" spans="2:16">
      <c r="B215" s="1">
        <v>214</v>
      </c>
      <c r="C215" s="24" t="s">
        <v>638</v>
      </c>
      <c r="D215" s="24" t="s">
        <v>485</v>
      </c>
      <c r="E215" s="25"/>
      <c r="F215" s="24" t="s">
        <v>365</v>
      </c>
      <c r="G215" s="24"/>
      <c r="H215" s="1"/>
      <c r="I215" s="1"/>
      <c r="J215" s="29">
        <v>42493</v>
      </c>
      <c r="K215" s="1"/>
      <c r="L215" s="27"/>
      <c r="M215" s="27"/>
      <c r="N215" s="1"/>
      <c r="O215" s="28"/>
      <c r="P215" s="1"/>
    </row>
    <row r="216" ht="26" spans="2:16">
      <c r="B216" s="1">
        <v>215</v>
      </c>
      <c r="C216" s="24" t="s">
        <v>639</v>
      </c>
      <c r="D216" s="24" t="s">
        <v>640</v>
      </c>
      <c r="E216" s="25"/>
      <c r="F216" s="24" t="s">
        <v>641</v>
      </c>
      <c r="G216" s="24"/>
      <c r="H216" s="1"/>
      <c r="I216" s="1"/>
      <c r="J216" s="29">
        <v>42287</v>
      </c>
      <c r="K216" s="1"/>
      <c r="L216" s="27"/>
      <c r="M216" s="27"/>
      <c r="N216" s="1"/>
      <c r="O216" s="28"/>
      <c r="P216" s="1"/>
    </row>
    <row r="217" ht="26" spans="2:16">
      <c r="B217" s="1">
        <v>216</v>
      </c>
      <c r="C217" s="24" t="s">
        <v>642</v>
      </c>
      <c r="D217" s="24" t="s">
        <v>643</v>
      </c>
      <c r="E217" s="25"/>
      <c r="F217" s="24" t="s">
        <v>365</v>
      </c>
      <c r="G217" s="24"/>
      <c r="H217" s="1"/>
      <c r="I217" s="1"/>
      <c r="J217" s="29">
        <v>42552</v>
      </c>
      <c r="K217" s="1">
        <v>74.95143</v>
      </c>
      <c r="L217" s="27"/>
      <c r="M217" s="27"/>
      <c r="N217" s="1"/>
      <c r="O217" s="28"/>
      <c r="P217" s="1"/>
    </row>
    <row r="218" ht="26" spans="2:16">
      <c r="B218" s="1">
        <v>217</v>
      </c>
      <c r="C218" s="24" t="s">
        <v>644</v>
      </c>
      <c r="D218" s="24" t="s">
        <v>645</v>
      </c>
      <c r="E218" s="25"/>
      <c r="F218" s="24" t="s">
        <v>646</v>
      </c>
      <c r="G218" s="24"/>
      <c r="H218" s="1"/>
      <c r="I218" s="1"/>
      <c r="J218" s="29">
        <v>42254</v>
      </c>
      <c r="K218" s="1"/>
      <c r="L218" s="27"/>
      <c r="M218" s="27"/>
      <c r="N218" s="1"/>
      <c r="O218" s="28"/>
      <c r="P218" s="1"/>
    </row>
    <row r="219" ht="26" spans="2:16">
      <c r="B219" s="1">
        <v>218</v>
      </c>
      <c r="C219" s="24" t="s">
        <v>647</v>
      </c>
      <c r="D219" s="24" t="s">
        <v>648</v>
      </c>
      <c r="E219" s="25"/>
      <c r="F219" s="24" t="s">
        <v>365</v>
      </c>
      <c r="G219" s="24"/>
      <c r="H219" s="1"/>
      <c r="I219" s="1"/>
      <c r="J219" s="29">
        <v>42542</v>
      </c>
      <c r="K219" s="1"/>
      <c r="L219" s="27"/>
      <c r="M219" s="27"/>
      <c r="N219" s="1"/>
      <c r="O219" s="28"/>
      <c r="P219" s="1"/>
    </row>
    <row r="220" ht="26" spans="2:16">
      <c r="B220" s="1" t="s">
        <v>649</v>
      </c>
      <c r="C220" s="24" t="s">
        <v>650</v>
      </c>
      <c r="D220" s="24" t="s">
        <v>596</v>
      </c>
      <c r="E220" s="25"/>
      <c r="F220" s="24" t="s">
        <v>365</v>
      </c>
      <c r="G220" s="24"/>
      <c r="H220" s="1"/>
      <c r="I220" s="1"/>
      <c r="J220" s="29">
        <v>42221</v>
      </c>
      <c r="K220" s="1">
        <v>37.9</v>
      </c>
      <c r="L220" s="27"/>
      <c r="M220" s="27"/>
      <c r="N220" s="1"/>
      <c r="O220" s="28"/>
      <c r="P220" s="1"/>
    </row>
    <row r="221" ht="39" spans="2:16">
      <c r="B221" s="1">
        <v>220</v>
      </c>
      <c r="C221" s="24" t="s">
        <v>651</v>
      </c>
      <c r="D221" s="24" t="s">
        <v>596</v>
      </c>
      <c r="E221" s="25"/>
      <c r="F221" s="24" t="s">
        <v>365</v>
      </c>
      <c r="G221" s="24"/>
      <c r="H221" s="1"/>
      <c r="I221" s="1"/>
      <c r="J221" s="29">
        <v>42221</v>
      </c>
      <c r="K221" s="1">
        <v>19.8</v>
      </c>
      <c r="L221" s="27"/>
      <c r="M221" s="27"/>
      <c r="N221" s="1"/>
      <c r="O221" s="28"/>
      <c r="P221" s="1"/>
    </row>
    <row r="222" ht="26" spans="2:16">
      <c r="B222" s="1">
        <v>221</v>
      </c>
      <c r="C222" s="24" t="s">
        <v>652</v>
      </c>
      <c r="D222" s="24" t="s">
        <v>596</v>
      </c>
      <c r="E222" s="25"/>
      <c r="F222" s="24" t="s">
        <v>365</v>
      </c>
      <c r="G222" s="24"/>
      <c r="H222" s="1"/>
      <c r="I222" s="1"/>
      <c r="J222" s="29">
        <v>42221</v>
      </c>
      <c r="K222" s="1"/>
      <c r="L222" s="27"/>
      <c r="M222" s="27"/>
      <c r="N222" s="1"/>
      <c r="O222" s="28"/>
      <c r="P222" s="1"/>
    </row>
    <row r="223" ht="26" spans="2:16">
      <c r="B223" s="1">
        <v>222</v>
      </c>
      <c r="C223" s="24" t="s">
        <v>653</v>
      </c>
      <c r="D223" s="24" t="s">
        <v>596</v>
      </c>
      <c r="E223" s="25"/>
      <c r="F223" s="24" t="s">
        <v>365</v>
      </c>
      <c r="G223" s="24"/>
      <c r="H223" s="1"/>
      <c r="I223" s="1"/>
      <c r="J223" s="29">
        <v>42607</v>
      </c>
      <c r="K223" s="1">
        <v>63.3994</v>
      </c>
      <c r="L223" s="27"/>
      <c r="M223" s="27"/>
      <c r="N223" s="1"/>
      <c r="O223" s="28"/>
      <c r="P223" s="1"/>
    </row>
    <row r="224" ht="26" spans="2:16">
      <c r="B224" s="1">
        <v>223</v>
      </c>
      <c r="C224" s="24" t="s">
        <v>654</v>
      </c>
      <c r="D224" s="24" t="s">
        <v>596</v>
      </c>
      <c r="E224" s="25"/>
      <c r="F224" s="24" t="s">
        <v>365</v>
      </c>
      <c r="G224" s="24"/>
      <c r="H224" s="1"/>
      <c r="I224" s="1"/>
      <c r="J224" s="29">
        <v>42221</v>
      </c>
      <c r="K224" s="1"/>
      <c r="L224" s="27"/>
      <c r="M224" s="27"/>
      <c r="N224" s="1"/>
      <c r="O224" s="28"/>
      <c r="P224" s="1"/>
    </row>
    <row r="225" ht="26" spans="2:16">
      <c r="B225" s="1">
        <v>224</v>
      </c>
      <c r="C225" s="24" t="s">
        <v>655</v>
      </c>
      <c r="D225" s="24" t="s">
        <v>656</v>
      </c>
      <c r="E225" s="25"/>
      <c r="F225" s="24" t="s">
        <v>365</v>
      </c>
      <c r="G225" s="24"/>
      <c r="H225" s="1"/>
      <c r="I225" s="1"/>
      <c r="J225" s="29">
        <v>42618</v>
      </c>
      <c r="K225" s="1"/>
      <c r="L225" s="27"/>
      <c r="M225" s="27"/>
      <c r="N225" s="1"/>
      <c r="O225" s="28"/>
      <c r="P225" s="1"/>
    </row>
    <row r="226" ht="26" spans="2:16">
      <c r="B226" s="1">
        <v>225</v>
      </c>
      <c r="C226" s="24" t="s">
        <v>657</v>
      </c>
      <c r="D226" s="24" t="s">
        <v>517</v>
      </c>
      <c r="E226" s="25"/>
      <c r="F226" s="24" t="s">
        <v>401</v>
      </c>
      <c r="G226" s="24"/>
      <c r="H226" s="1"/>
      <c r="I226" s="1"/>
      <c r="J226" s="29">
        <v>42541</v>
      </c>
      <c r="K226" s="1"/>
      <c r="L226" s="27"/>
      <c r="M226" s="27"/>
      <c r="N226" s="1"/>
      <c r="O226" s="28"/>
      <c r="P226" s="1"/>
    </row>
    <row r="227" ht="26" spans="2:16">
      <c r="B227" s="1">
        <v>226</v>
      </c>
      <c r="C227" s="24" t="s">
        <v>658</v>
      </c>
      <c r="D227" s="24" t="s">
        <v>517</v>
      </c>
      <c r="E227" s="25"/>
      <c r="F227" s="24" t="s">
        <v>401</v>
      </c>
      <c r="G227" s="24"/>
      <c r="H227" s="1"/>
      <c r="I227" s="1"/>
      <c r="J227" s="29">
        <v>42430</v>
      </c>
      <c r="K227" s="1"/>
      <c r="L227" s="27"/>
      <c r="M227" s="27"/>
      <c r="N227" s="1"/>
      <c r="O227" s="28"/>
      <c r="P227" s="1"/>
    </row>
    <row r="228" ht="26" spans="2:16">
      <c r="B228" s="1">
        <v>227</v>
      </c>
      <c r="C228" s="24" t="s">
        <v>659</v>
      </c>
      <c r="D228" s="24" t="s">
        <v>517</v>
      </c>
      <c r="E228" s="25"/>
      <c r="F228" s="24" t="s">
        <v>660</v>
      </c>
      <c r="G228" s="24"/>
      <c r="H228" s="1"/>
      <c r="I228" s="1"/>
      <c r="J228" s="29">
        <v>42430</v>
      </c>
      <c r="K228" s="1"/>
      <c r="L228" s="27"/>
      <c r="M228" s="27"/>
      <c r="N228" s="1"/>
      <c r="O228" s="28"/>
      <c r="P228" s="1"/>
    </row>
    <row r="229" ht="26" spans="2:16">
      <c r="B229" s="1">
        <v>228</v>
      </c>
      <c r="C229" s="24" t="s">
        <v>661</v>
      </c>
      <c r="D229" s="24" t="s">
        <v>517</v>
      </c>
      <c r="E229" s="25"/>
      <c r="F229" s="24" t="s">
        <v>505</v>
      </c>
      <c r="G229" s="24"/>
      <c r="H229" s="1"/>
      <c r="I229" s="1"/>
      <c r="J229" s="29">
        <v>42573</v>
      </c>
      <c r="K229" s="1"/>
      <c r="L229" s="27"/>
      <c r="M229" s="27"/>
      <c r="N229" s="1"/>
      <c r="O229" s="28"/>
      <c r="P229" s="1"/>
    </row>
    <row r="230" ht="26" spans="2:16">
      <c r="B230" s="1">
        <v>229</v>
      </c>
      <c r="C230" s="24" t="s">
        <v>662</v>
      </c>
      <c r="D230" s="24" t="s">
        <v>517</v>
      </c>
      <c r="E230" s="25"/>
      <c r="F230" s="24" t="s">
        <v>663</v>
      </c>
      <c r="G230" s="24"/>
      <c r="H230" s="1"/>
      <c r="I230" s="1"/>
      <c r="J230" s="29">
        <v>42434</v>
      </c>
      <c r="K230" s="1"/>
      <c r="L230" s="27"/>
      <c r="M230" s="27"/>
      <c r="N230" s="1"/>
      <c r="O230" s="28"/>
      <c r="P230" s="1"/>
    </row>
    <row r="231" ht="26" spans="2:16">
      <c r="B231" s="1">
        <v>230</v>
      </c>
      <c r="C231" s="24" t="s">
        <v>664</v>
      </c>
      <c r="D231" s="24" t="s">
        <v>517</v>
      </c>
      <c r="E231" s="25"/>
      <c r="F231" s="24" t="s">
        <v>401</v>
      </c>
      <c r="G231" s="24"/>
      <c r="H231" s="1"/>
      <c r="I231" s="1"/>
      <c r="J231" s="29">
        <v>42434</v>
      </c>
      <c r="K231" s="1"/>
      <c r="L231" s="27"/>
      <c r="M231" s="27"/>
      <c r="N231" s="1"/>
      <c r="O231" s="28"/>
      <c r="P231" s="1"/>
    </row>
    <row r="232" ht="26" spans="2:16">
      <c r="B232" s="1">
        <v>231</v>
      </c>
      <c r="C232" s="24" t="s">
        <v>665</v>
      </c>
      <c r="D232" s="24" t="s">
        <v>620</v>
      </c>
      <c r="E232" s="25"/>
      <c r="F232" s="24" t="s">
        <v>666</v>
      </c>
      <c r="G232" s="24"/>
      <c r="H232" s="1"/>
      <c r="I232" s="1"/>
      <c r="J232" s="29">
        <v>42497</v>
      </c>
      <c r="K232" s="1"/>
      <c r="L232" s="27"/>
      <c r="M232" s="27"/>
      <c r="N232" s="1"/>
      <c r="O232" s="28"/>
      <c r="P232" s="1"/>
    </row>
    <row r="233" ht="26" spans="2:16">
      <c r="B233" s="1">
        <v>232</v>
      </c>
      <c r="C233" s="24" t="s">
        <v>667</v>
      </c>
      <c r="D233" s="24" t="s">
        <v>668</v>
      </c>
      <c r="E233" s="25"/>
      <c r="F233" s="24" t="s">
        <v>669</v>
      </c>
      <c r="G233" s="24"/>
      <c r="H233" s="1"/>
      <c r="I233" s="1"/>
      <c r="J233" s="29">
        <v>42309</v>
      </c>
      <c r="K233" s="1"/>
      <c r="L233" s="27"/>
      <c r="M233" s="27"/>
      <c r="N233" s="1"/>
      <c r="O233" s="28"/>
      <c r="P233" s="1"/>
    </row>
    <row r="234" ht="26" spans="2:16">
      <c r="B234" s="1">
        <v>233</v>
      </c>
      <c r="C234" s="24" t="s">
        <v>670</v>
      </c>
      <c r="D234" s="24" t="s">
        <v>671</v>
      </c>
      <c r="E234" s="25"/>
      <c r="F234" s="24" t="s">
        <v>401</v>
      </c>
      <c r="G234" s="24"/>
      <c r="H234" s="1"/>
      <c r="I234" s="1"/>
      <c r="J234" s="29">
        <v>42454</v>
      </c>
      <c r="K234" s="1">
        <v>11</v>
      </c>
      <c r="L234" s="27"/>
      <c r="M234" s="27"/>
      <c r="N234" s="1"/>
      <c r="O234" s="28"/>
      <c r="P234" s="1"/>
    </row>
    <row r="235" ht="26" spans="2:16">
      <c r="B235" s="1">
        <v>234</v>
      </c>
      <c r="C235" s="24" t="s">
        <v>672</v>
      </c>
      <c r="D235" s="24" t="s">
        <v>599</v>
      </c>
      <c r="E235" s="25"/>
      <c r="F235" s="24" t="s">
        <v>365</v>
      </c>
      <c r="G235" s="24"/>
      <c r="H235" s="1"/>
      <c r="I235" s="1"/>
      <c r="J235" s="29">
        <v>42607</v>
      </c>
      <c r="K235" s="1">
        <v>69.6953</v>
      </c>
      <c r="L235" s="27"/>
      <c r="M235" s="27"/>
      <c r="N235" s="1"/>
      <c r="O235" s="28"/>
      <c r="P235" s="1"/>
    </row>
    <row r="236" ht="26" spans="2:16">
      <c r="B236" s="1">
        <v>235</v>
      </c>
      <c r="C236" s="24" t="s">
        <v>673</v>
      </c>
      <c r="D236" s="24" t="s">
        <v>674</v>
      </c>
      <c r="E236" s="25"/>
      <c r="F236" s="24" t="s">
        <v>361</v>
      </c>
      <c r="G236" s="24"/>
      <c r="H236" s="1"/>
      <c r="I236" s="1"/>
      <c r="J236" s="29">
        <v>42507</v>
      </c>
      <c r="K236" s="1"/>
      <c r="L236" s="27"/>
      <c r="M236" s="27"/>
      <c r="N236" s="1"/>
      <c r="O236" s="28"/>
      <c r="P236" s="1"/>
    </row>
    <row r="237" ht="26" spans="2:16">
      <c r="B237" s="1">
        <v>236</v>
      </c>
      <c r="C237" s="24" t="s">
        <v>675</v>
      </c>
      <c r="D237" s="24" t="s">
        <v>674</v>
      </c>
      <c r="E237" s="25"/>
      <c r="F237" s="24" t="s">
        <v>361</v>
      </c>
      <c r="G237" s="24"/>
      <c r="H237" s="1"/>
      <c r="I237" s="1"/>
      <c r="J237" s="29">
        <v>42548</v>
      </c>
      <c r="K237" s="1"/>
      <c r="L237" s="27"/>
      <c r="M237" s="27"/>
      <c r="N237" s="1"/>
      <c r="O237" s="28"/>
      <c r="P237" s="1"/>
    </row>
    <row r="238" ht="26" spans="2:16">
      <c r="B238" s="1">
        <v>237</v>
      </c>
      <c r="C238" s="24" t="s">
        <v>676</v>
      </c>
      <c r="D238" s="24" t="s">
        <v>674</v>
      </c>
      <c r="E238" s="25"/>
      <c r="F238" s="24" t="s">
        <v>361</v>
      </c>
      <c r="G238" s="24"/>
      <c r="H238" s="1"/>
      <c r="I238" s="1"/>
      <c r="J238" s="29">
        <v>42548</v>
      </c>
      <c r="K238" s="1"/>
      <c r="L238" s="27"/>
      <c r="M238" s="27"/>
      <c r="N238" s="1"/>
      <c r="O238" s="28"/>
      <c r="P238" s="1"/>
    </row>
    <row r="239" ht="26" spans="2:16">
      <c r="B239" s="1">
        <v>238</v>
      </c>
      <c r="C239" s="24" t="s">
        <v>677</v>
      </c>
      <c r="D239" s="24" t="s">
        <v>674</v>
      </c>
      <c r="E239" s="25"/>
      <c r="F239" s="24" t="s">
        <v>361</v>
      </c>
      <c r="G239" s="24"/>
      <c r="H239" s="1"/>
      <c r="I239" s="1"/>
      <c r="J239" s="29">
        <v>42548</v>
      </c>
      <c r="K239" s="1"/>
      <c r="L239" s="27"/>
      <c r="M239" s="27"/>
      <c r="N239" s="1"/>
      <c r="O239" s="28"/>
      <c r="P239" s="1"/>
    </row>
    <row r="240" ht="26" spans="2:16">
      <c r="B240" s="1">
        <v>239</v>
      </c>
      <c r="C240" s="24" t="s">
        <v>678</v>
      </c>
      <c r="D240" s="24" t="s">
        <v>674</v>
      </c>
      <c r="E240" s="25"/>
      <c r="F240" s="24" t="s">
        <v>361</v>
      </c>
      <c r="G240" s="24"/>
      <c r="H240" s="1"/>
      <c r="I240" s="1"/>
      <c r="J240" s="29">
        <v>42548</v>
      </c>
      <c r="K240" s="1"/>
      <c r="L240" s="27"/>
      <c r="M240" s="27"/>
      <c r="N240" s="1"/>
      <c r="O240" s="28"/>
      <c r="P240" s="1"/>
    </row>
    <row r="241" ht="26" spans="2:16">
      <c r="B241" s="1">
        <v>240</v>
      </c>
      <c r="C241" s="24" t="s">
        <v>679</v>
      </c>
      <c r="D241" s="24" t="s">
        <v>674</v>
      </c>
      <c r="E241" s="25"/>
      <c r="F241" s="24" t="s">
        <v>361</v>
      </c>
      <c r="G241" s="24"/>
      <c r="H241" s="1"/>
      <c r="I241" s="1"/>
      <c r="J241" s="29">
        <v>42548</v>
      </c>
      <c r="K241" s="1"/>
      <c r="L241" s="27"/>
      <c r="M241" s="27"/>
      <c r="N241" s="1"/>
      <c r="O241" s="28"/>
      <c r="P241" s="1"/>
    </row>
    <row r="242" ht="26" spans="2:16">
      <c r="B242" s="1">
        <v>241</v>
      </c>
      <c r="C242" s="24" t="s">
        <v>680</v>
      </c>
      <c r="D242" s="24" t="s">
        <v>674</v>
      </c>
      <c r="E242" s="25"/>
      <c r="F242" s="24" t="s">
        <v>361</v>
      </c>
      <c r="G242" s="24"/>
      <c r="H242" s="1"/>
      <c r="I242" s="1"/>
      <c r="J242" s="29">
        <v>42516</v>
      </c>
      <c r="K242" s="1"/>
      <c r="L242" s="27"/>
      <c r="M242" s="27"/>
      <c r="N242" s="1"/>
      <c r="O242" s="28"/>
      <c r="P242" s="1"/>
    </row>
    <row r="243" ht="26" spans="2:16">
      <c r="B243" s="1">
        <v>242</v>
      </c>
      <c r="C243" s="24" t="s">
        <v>681</v>
      </c>
      <c r="D243" s="24" t="s">
        <v>674</v>
      </c>
      <c r="E243" s="25"/>
      <c r="F243" s="24" t="s">
        <v>361</v>
      </c>
      <c r="G243" s="24"/>
      <c r="H243" s="1"/>
      <c r="I243" s="1"/>
      <c r="J243" s="29">
        <v>42516</v>
      </c>
      <c r="K243" s="1"/>
      <c r="L243" s="27"/>
      <c r="M243" s="27"/>
      <c r="N243" s="1"/>
      <c r="O243" s="28"/>
      <c r="P243" s="1"/>
    </row>
    <row r="244" ht="26" spans="2:16">
      <c r="B244" s="1">
        <v>243</v>
      </c>
      <c r="C244" s="24" t="s">
        <v>682</v>
      </c>
      <c r="D244" s="24" t="s">
        <v>674</v>
      </c>
      <c r="E244" s="25"/>
      <c r="F244" s="24" t="s">
        <v>361</v>
      </c>
      <c r="G244" s="24"/>
      <c r="H244" s="1"/>
      <c r="I244" s="1"/>
      <c r="J244" s="29">
        <v>42516</v>
      </c>
      <c r="K244" s="1"/>
      <c r="L244" s="27"/>
      <c r="M244" s="27"/>
      <c r="N244" s="1"/>
      <c r="O244" s="28"/>
      <c r="P244" s="1"/>
    </row>
    <row r="245" ht="26" spans="2:16">
      <c r="B245" s="1">
        <v>244</v>
      </c>
      <c r="C245" s="24" t="s">
        <v>683</v>
      </c>
      <c r="D245" s="24" t="s">
        <v>674</v>
      </c>
      <c r="E245" s="25"/>
      <c r="F245" s="24" t="s">
        <v>361</v>
      </c>
      <c r="G245" s="24"/>
      <c r="H245" s="1"/>
      <c r="I245" s="1"/>
      <c r="J245" s="29">
        <v>42516</v>
      </c>
      <c r="K245" s="1"/>
      <c r="L245" s="27"/>
      <c r="M245" s="27"/>
      <c r="N245" s="1"/>
      <c r="O245" s="28"/>
      <c r="P245" s="1"/>
    </row>
    <row r="246" ht="26" spans="2:16">
      <c r="B246" s="1">
        <v>245</v>
      </c>
      <c r="C246" s="24" t="s">
        <v>684</v>
      </c>
      <c r="D246" s="24" t="s">
        <v>674</v>
      </c>
      <c r="E246" s="25"/>
      <c r="F246" s="24" t="s">
        <v>361</v>
      </c>
      <c r="G246" s="24"/>
      <c r="H246" s="1"/>
      <c r="I246" s="1"/>
      <c r="J246" s="29">
        <v>42598</v>
      </c>
      <c r="K246" s="1"/>
      <c r="L246" s="27"/>
      <c r="M246" s="27"/>
      <c r="N246" s="1"/>
      <c r="O246" s="28"/>
      <c r="P246" s="1"/>
    </row>
    <row r="247" ht="26" spans="2:16">
      <c r="B247" s="1">
        <v>246</v>
      </c>
      <c r="C247" s="24" t="s">
        <v>685</v>
      </c>
      <c r="D247" s="24" t="s">
        <v>674</v>
      </c>
      <c r="E247" s="25"/>
      <c r="F247" s="24" t="s">
        <v>361</v>
      </c>
      <c r="G247" s="24"/>
      <c r="H247" s="1"/>
      <c r="I247" s="1"/>
      <c r="J247" s="29">
        <v>42579</v>
      </c>
      <c r="K247" s="1"/>
      <c r="L247" s="27"/>
      <c r="M247" s="27"/>
      <c r="N247" s="1"/>
      <c r="O247" s="28"/>
      <c r="P247" s="1"/>
    </row>
    <row r="248" ht="26" spans="2:16">
      <c r="B248" s="1">
        <v>247</v>
      </c>
      <c r="C248" s="24" t="s">
        <v>686</v>
      </c>
      <c r="D248" s="24" t="s">
        <v>674</v>
      </c>
      <c r="E248" s="25"/>
      <c r="F248" s="24" t="s">
        <v>361</v>
      </c>
      <c r="G248" s="24"/>
      <c r="H248" s="1"/>
      <c r="I248" s="1"/>
      <c r="J248" s="29">
        <v>42508</v>
      </c>
      <c r="K248" s="1"/>
      <c r="L248" s="27"/>
      <c r="M248" s="27"/>
      <c r="N248" s="1"/>
      <c r="O248" s="28"/>
      <c r="P248" s="1"/>
    </row>
    <row r="249" ht="26" spans="2:16">
      <c r="B249" s="1">
        <v>248</v>
      </c>
      <c r="C249" s="24" t="s">
        <v>687</v>
      </c>
      <c r="D249" s="24" t="s">
        <v>674</v>
      </c>
      <c r="E249" s="25"/>
      <c r="F249" s="24" t="s">
        <v>361</v>
      </c>
      <c r="G249" s="24"/>
      <c r="H249" s="1"/>
      <c r="I249" s="1"/>
      <c r="J249" s="29">
        <v>42508</v>
      </c>
      <c r="K249" s="1"/>
      <c r="L249" s="27"/>
      <c r="M249" s="27"/>
      <c r="N249" s="1"/>
      <c r="O249" s="28"/>
      <c r="P249" s="1"/>
    </row>
    <row r="250" ht="26" spans="2:16">
      <c r="B250" s="1">
        <v>249</v>
      </c>
      <c r="C250" s="24" t="s">
        <v>688</v>
      </c>
      <c r="D250" s="24" t="s">
        <v>439</v>
      </c>
      <c r="E250" s="25"/>
      <c r="F250" s="24" t="s">
        <v>462</v>
      </c>
      <c r="G250" s="24"/>
      <c r="H250" s="1"/>
      <c r="I250" s="1"/>
      <c r="J250" s="29">
        <v>41841</v>
      </c>
      <c r="K250" s="1"/>
      <c r="L250" s="27"/>
      <c r="M250" s="27"/>
      <c r="N250" s="1"/>
      <c r="O250" s="45">
        <v>42752</v>
      </c>
      <c r="P250" s="1"/>
    </row>
    <row r="251" ht="26" spans="2:16">
      <c r="B251" s="1">
        <v>250</v>
      </c>
      <c r="C251" s="24" t="s">
        <v>689</v>
      </c>
      <c r="D251" s="24" t="s">
        <v>690</v>
      </c>
      <c r="E251" s="25"/>
      <c r="F251" s="24" t="s">
        <v>505</v>
      </c>
      <c r="G251" s="24"/>
      <c r="H251" s="1"/>
      <c r="I251" s="1"/>
      <c r="J251" s="29">
        <v>42676</v>
      </c>
      <c r="K251" s="1"/>
      <c r="L251" s="27"/>
      <c r="M251" s="27"/>
      <c r="N251" s="1"/>
      <c r="O251" s="45">
        <v>42752</v>
      </c>
      <c r="P251" s="1"/>
    </row>
    <row r="252" spans="2:16">
      <c r="B252" s="1">
        <v>251</v>
      </c>
      <c r="C252" s="24" t="s">
        <v>691</v>
      </c>
      <c r="D252" s="24" t="s">
        <v>692</v>
      </c>
      <c r="E252" s="25"/>
      <c r="F252" s="24" t="s">
        <v>693</v>
      </c>
      <c r="G252" s="24"/>
      <c r="H252" s="1"/>
      <c r="I252" s="1"/>
      <c r="J252" s="29">
        <v>42684</v>
      </c>
      <c r="K252" s="1"/>
      <c r="L252" s="27"/>
      <c r="M252" s="27"/>
      <c r="N252" s="1"/>
      <c r="O252" s="45">
        <v>42752</v>
      </c>
      <c r="P252" s="1"/>
    </row>
    <row r="253" ht="26" spans="2:16">
      <c r="B253" s="1">
        <v>252</v>
      </c>
      <c r="C253" s="24" t="s">
        <v>694</v>
      </c>
      <c r="D253" s="24" t="s">
        <v>695</v>
      </c>
      <c r="E253" s="25"/>
      <c r="F253" s="24" t="s">
        <v>696</v>
      </c>
      <c r="G253" s="24"/>
      <c r="H253" s="1"/>
      <c r="I253" s="1"/>
      <c r="J253" s="29">
        <v>42324</v>
      </c>
      <c r="K253" s="1">
        <v>13.74</v>
      </c>
      <c r="L253" s="27"/>
      <c r="M253" s="27"/>
      <c r="N253" s="1"/>
      <c r="O253" s="45">
        <v>42781</v>
      </c>
      <c r="P253" s="1"/>
    </row>
    <row r="254" ht="26" spans="2:16">
      <c r="B254" s="1">
        <v>253</v>
      </c>
      <c r="C254" s="24" t="s">
        <v>697</v>
      </c>
      <c r="D254" s="24" t="s">
        <v>695</v>
      </c>
      <c r="E254" s="25"/>
      <c r="F254" s="24" t="s">
        <v>696</v>
      </c>
      <c r="G254" s="24"/>
      <c r="H254" s="1"/>
      <c r="I254" s="1"/>
      <c r="J254" s="29">
        <v>42324</v>
      </c>
      <c r="K254" s="1">
        <v>18.82</v>
      </c>
      <c r="L254" s="27"/>
      <c r="M254" s="27"/>
      <c r="N254" s="1"/>
      <c r="O254" s="45">
        <v>42781</v>
      </c>
      <c r="P254" s="1"/>
    </row>
    <row r="255" ht="26" spans="2:16">
      <c r="B255" s="1">
        <v>254</v>
      </c>
      <c r="C255" s="24" t="s">
        <v>698</v>
      </c>
      <c r="D255" s="24" t="s">
        <v>695</v>
      </c>
      <c r="E255" s="25"/>
      <c r="F255" s="24" t="s">
        <v>696</v>
      </c>
      <c r="G255" s="24"/>
      <c r="H255" s="1"/>
      <c r="I255" s="1"/>
      <c r="J255" s="29">
        <v>42324</v>
      </c>
      <c r="K255" s="1">
        <v>9.6</v>
      </c>
      <c r="L255" s="27"/>
      <c r="M255" s="27"/>
      <c r="N255" s="1"/>
      <c r="O255" s="45">
        <v>42781</v>
      </c>
      <c r="P255" s="1"/>
    </row>
    <row r="256" ht="26" spans="2:16">
      <c r="B256" s="1">
        <v>255</v>
      </c>
      <c r="C256" s="24" t="s">
        <v>699</v>
      </c>
      <c r="D256" s="24" t="s">
        <v>695</v>
      </c>
      <c r="E256" s="25"/>
      <c r="F256" s="24" t="s">
        <v>401</v>
      </c>
      <c r="G256" s="24"/>
      <c r="H256" s="1"/>
      <c r="I256" s="1"/>
      <c r="J256" s="29">
        <v>42453</v>
      </c>
      <c r="K256" s="1">
        <v>0.69</v>
      </c>
      <c r="L256" s="27"/>
      <c r="M256" s="27"/>
      <c r="N256" s="1"/>
      <c r="O256" s="45">
        <v>42781</v>
      </c>
      <c r="P256" s="1"/>
    </row>
    <row r="257" ht="26" spans="2:16">
      <c r="B257" s="1">
        <v>256</v>
      </c>
      <c r="C257" s="24" t="s">
        <v>700</v>
      </c>
      <c r="D257" s="24" t="s">
        <v>695</v>
      </c>
      <c r="E257" s="25"/>
      <c r="F257" s="24" t="s">
        <v>401</v>
      </c>
      <c r="G257" s="24"/>
      <c r="H257" s="1"/>
      <c r="I257" s="1"/>
      <c r="J257" s="29">
        <v>42453</v>
      </c>
      <c r="K257" s="1">
        <v>1.69</v>
      </c>
      <c r="L257" s="27"/>
      <c r="M257" s="27"/>
      <c r="N257" s="1"/>
      <c r="O257" s="45">
        <v>42781</v>
      </c>
      <c r="P257" s="1"/>
    </row>
    <row r="258" ht="26" spans="2:16">
      <c r="B258" s="1">
        <v>257</v>
      </c>
      <c r="C258" s="24" t="s">
        <v>701</v>
      </c>
      <c r="D258" s="24" t="s">
        <v>695</v>
      </c>
      <c r="E258" s="25"/>
      <c r="F258" s="24" t="s">
        <v>401</v>
      </c>
      <c r="G258" s="24"/>
      <c r="H258" s="1"/>
      <c r="I258" s="1"/>
      <c r="J258" s="29">
        <v>42453</v>
      </c>
      <c r="K258" s="1">
        <v>2.9</v>
      </c>
      <c r="L258" s="27"/>
      <c r="M258" s="27"/>
      <c r="N258" s="1"/>
      <c r="O258" s="45">
        <v>42781</v>
      </c>
      <c r="P258" s="1"/>
    </row>
    <row r="259" spans="2:16">
      <c r="B259" s="1">
        <v>258</v>
      </c>
      <c r="C259" s="24" t="s">
        <v>702</v>
      </c>
      <c r="D259" s="24" t="s">
        <v>695</v>
      </c>
      <c r="E259" s="25"/>
      <c r="F259" s="24" t="s">
        <v>456</v>
      </c>
      <c r="G259" s="24"/>
      <c r="H259" s="1"/>
      <c r="I259" s="1"/>
      <c r="J259" s="29">
        <v>42450</v>
      </c>
      <c r="K259" s="1">
        <v>4.25</v>
      </c>
      <c r="L259" s="27"/>
      <c r="M259" s="27"/>
      <c r="N259" s="1"/>
      <c r="O259" s="45">
        <v>42781</v>
      </c>
      <c r="P259" s="1"/>
    </row>
    <row r="260" spans="2:16">
      <c r="B260" s="1">
        <v>259</v>
      </c>
      <c r="C260" s="24" t="s">
        <v>703</v>
      </c>
      <c r="D260" s="24" t="s">
        <v>695</v>
      </c>
      <c r="E260" s="25"/>
      <c r="F260" s="24" t="s">
        <v>704</v>
      </c>
      <c r="G260" s="24"/>
      <c r="H260" s="1"/>
      <c r="I260" s="1"/>
      <c r="J260" s="29">
        <v>42450</v>
      </c>
      <c r="K260" s="1">
        <v>6.93</v>
      </c>
      <c r="L260" s="27"/>
      <c r="M260" s="27"/>
      <c r="N260" s="1"/>
      <c r="O260" s="45">
        <v>42781</v>
      </c>
      <c r="P260" s="1"/>
    </row>
    <row r="261" spans="2:16">
      <c r="B261" s="1">
        <v>260</v>
      </c>
      <c r="C261" s="24" t="s">
        <v>617</v>
      </c>
      <c r="D261" s="24" t="s">
        <v>618</v>
      </c>
      <c r="E261" s="25"/>
      <c r="F261" s="24"/>
      <c r="G261" s="24"/>
      <c r="H261" s="1"/>
      <c r="I261" s="1"/>
      <c r="J261" s="29">
        <v>42793</v>
      </c>
      <c r="K261" s="1"/>
      <c r="L261" s="27"/>
      <c r="M261" s="27"/>
      <c r="N261" s="1"/>
      <c r="O261" s="28"/>
      <c r="P261" s="1"/>
    </row>
    <row r="262" ht="23.4" customHeight="1" spans="2:16">
      <c r="B262" s="1">
        <v>261</v>
      </c>
      <c r="C262" s="24" t="s">
        <v>705</v>
      </c>
      <c r="D262" s="24" t="s">
        <v>706</v>
      </c>
      <c r="E262" s="25"/>
      <c r="F262" s="24"/>
      <c r="G262" s="46" t="s">
        <v>707</v>
      </c>
      <c r="H262" s="47" t="s">
        <v>708</v>
      </c>
      <c r="I262" s="47" t="s">
        <v>709</v>
      </c>
      <c r="J262" s="29">
        <v>42736</v>
      </c>
      <c r="K262" s="1"/>
      <c r="L262" s="27"/>
      <c r="M262" s="27"/>
      <c r="N262" s="1"/>
      <c r="O262" s="45">
        <v>42826</v>
      </c>
      <c r="P262" s="1"/>
    </row>
    <row r="263" ht="26" spans="2:16">
      <c r="B263" s="1">
        <v>262</v>
      </c>
      <c r="C263" s="24" t="s">
        <v>710</v>
      </c>
      <c r="D263" s="24" t="s">
        <v>393</v>
      </c>
      <c r="E263" s="25"/>
      <c r="F263" s="24" t="s">
        <v>505</v>
      </c>
      <c r="G263" s="46" t="s">
        <v>711</v>
      </c>
      <c r="H263" s="47" t="s">
        <v>709</v>
      </c>
      <c r="I263" s="47" t="s">
        <v>709</v>
      </c>
      <c r="J263" s="29">
        <v>42213</v>
      </c>
      <c r="K263" s="1"/>
      <c r="L263" s="27"/>
      <c r="M263" s="27"/>
      <c r="N263" s="1"/>
      <c r="O263" s="45">
        <v>42787</v>
      </c>
      <c r="P263" s="1"/>
    </row>
    <row r="264" ht="26" spans="2:16">
      <c r="B264" s="1">
        <v>263</v>
      </c>
      <c r="C264" s="24" t="s">
        <v>712</v>
      </c>
      <c r="D264" s="24" t="s">
        <v>393</v>
      </c>
      <c r="E264" s="25"/>
      <c r="F264" s="24" t="s">
        <v>505</v>
      </c>
      <c r="G264" s="46" t="s">
        <v>713</v>
      </c>
      <c r="H264" s="47" t="s">
        <v>709</v>
      </c>
      <c r="I264" s="47" t="s">
        <v>709</v>
      </c>
      <c r="J264" s="29">
        <v>42213</v>
      </c>
      <c r="K264" s="1"/>
      <c r="L264" s="27"/>
      <c r="M264" s="27"/>
      <c r="N264" s="1"/>
      <c r="O264" s="45">
        <v>42787</v>
      </c>
      <c r="P264" s="1"/>
    </row>
    <row r="265" ht="39" spans="2:16">
      <c r="B265" s="1">
        <v>264</v>
      </c>
      <c r="C265" s="24" t="s">
        <v>714</v>
      </c>
      <c r="D265" s="24" t="s">
        <v>715</v>
      </c>
      <c r="E265" s="14"/>
      <c r="F265" s="24" t="s">
        <v>361</v>
      </c>
      <c r="G265" s="46" t="s">
        <v>716</v>
      </c>
      <c r="H265" s="47" t="s">
        <v>709</v>
      </c>
      <c r="I265" s="47" t="s">
        <v>709</v>
      </c>
      <c r="J265" s="29"/>
      <c r="K265" s="1">
        <v>42</v>
      </c>
      <c r="L265" s="27"/>
      <c r="M265" s="27"/>
      <c r="N265" s="1"/>
      <c r="O265" s="45">
        <v>42898</v>
      </c>
      <c r="P265" s="1"/>
    </row>
    <row r="266" ht="52" spans="2:16">
      <c r="B266" s="1">
        <v>265</v>
      </c>
      <c r="C266" s="24" t="s">
        <v>717</v>
      </c>
      <c r="D266" s="24" t="s">
        <v>718</v>
      </c>
      <c r="E266" s="25"/>
      <c r="F266" s="24" t="s">
        <v>719</v>
      </c>
      <c r="G266" s="46" t="s">
        <v>720</v>
      </c>
      <c r="H266" s="47" t="s">
        <v>708</v>
      </c>
      <c r="I266" s="47" t="s">
        <v>721</v>
      </c>
      <c r="J266" s="29">
        <v>42826</v>
      </c>
      <c r="K266" s="1">
        <v>25</v>
      </c>
      <c r="L266" s="27"/>
      <c r="M266" s="27"/>
      <c r="N266" s="1"/>
      <c r="O266" s="45">
        <v>42898</v>
      </c>
      <c r="P266" s="1"/>
    </row>
    <row r="267" ht="26" spans="2:16">
      <c r="B267" s="1">
        <v>266</v>
      </c>
      <c r="C267" s="24" t="s">
        <v>722</v>
      </c>
      <c r="D267" s="24" t="s">
        <v>517</v>
      </c>
      <c r="E267" s="25"/>
      <c r="F267" s="24" t="s">
        <v>723</v>
      </c>
      <c r="G267" s="46" t="s">
        <v>724</v>
      </c>
      <c r="H267" s="47" t="s">
        <v>725</v>
      </c>
      <c r="I267" s="47" t="s">
        <v>709</v>
      </c>
      <c r="J267" s="29">
        <v>42796</v>
      </c>
      <c r="K267" s="1"/>
      <c r="L267" s="27"/>
      <c r="M267" s="27"/>
      <c r="N267" s="1"/>
      <c r="O267" s="45">
        <v>42898</v>
      </c>
      <c r="P267" s="1"/>
    </row>
    <row r="268" ht="39" spans="2:16">
      <c r="B268" s="1">
        <v>267</v>
      </c>
      <c r="C268" s="24" t="s">
        <v>726</v>
      </c>
      <c r="D268" s="24" t="s">
        <v>517</v>
      </c>
      <c r="E268" s="25"/>
      <c r="F268" s="24" t="s">
        <v>401</v>
      </c>
      <c r="G268" s="46" t="s">
        <v>727</v>
      </c>
      <c r="H268" s="47" t="s">
        <v>725</v>
      </c>
      <c r="I268" s="47" t="s">
        <v>709</v>
      </c>
      <c r="J268" s="29">
        <v>42796</v>
      </c>
      <c r="K268" s="1"/>
      <c r="L268" s="27"/>
      <c r="M268" s="27"/>
      <c r="N268" s="1"/>
      <c r="O268" s="45">
        <v>42898</v>
      </c>
      <c r="P268" s="1"/>
    </row>
    <row r="269" ht="39" spans="2:16">
      <c r="B269" s="1">
        <v>268</v>
      </c>
      <c r="C269" s="24" t="s">
        <v>728</v>
      </c>
      <c r="D269" s="24" t="s">
        <v>517</v>
      </c>
      <c r="E269" s="25"/>
      <c r="F269" s="24" t="s">
        <v>401</v>
      </c>
      <c r="G269" s="46" t="s">
        <v>729</v>
      </c>
      <c r="H269" s="47" t="s">
        <v>725</v>
      </c>
      <c r="I269" s="47" t="s">
        <v>709</v>
      </c>
      <c r="J269" s="29">
        <v>42796</v>
      </c>
      <c r="K269" s="1"/>
      <c r="L269" s="27"/>
      <c r="M269" s="27"/>
      <c r="N269" s="1"/>
      <c r="O269" s="45">
        <v>42898</v>
      </c>
      <c r="P269" s="1"/>
    </row>
    <row r="270" ht="39" spans="2:16">
      <c r="B270" s="1">
        <v>269</v>
      </c>
      <c r="C270" s="24" t="s">
        <v>730</v>
      </c>
      <c r="D270" s="24" t="s">
        <v>517</v>
      </c>
      <c r="E270" s="25"/>
      <c r="F270" s="24" t="s">
        <v>456</v>
      </c>
      <c r="G270" s="46" t="s">
        <v>731</v>
      </c>
      <c r="H270" s="47" t="s">
        <v>725</v>
      </c>
      <c r="I270" s="47" t="s">
        <v>709</v>
      </c>
      <c r="J270" s="29">
        <v>42739</v>
      </c>
      <c r="K270" s="1"/>
      <c r="L270" s="27"/>
      <c r="M270" s="27"/>
      <c r="N270" s="1"/>
      <c r="O270" s="45">
        <v>42898</v>
      </c>
      <c r="P270" s="1"/>
    </row>
    <row r="271" ht="26" spans="2:16">
      <c r="B271" s="1">
        <v>270</v>
      </c>
      <c r="C271" s="24" t="s">
        <v>732</v>
      </c>
      <c r="D271" s="24" t="s">
        <v>517</v>
      </c>
      <c r="E271" s="25"/>
      <c r="F271" s="24" t="s">
        <v>733</v>
      </c>
      <c r="G271" s="46" t="s">
        <v>734</v>
      </c>
      <c r="H271" s="47" t="s">
        <v>725</v>
      </c>
      <c r="I271" s="47" t="s">
        <v>709</v>
      </c>
      <c r="J271" s="29">
        <v>42796</v>
      </c>
      <c r="K271" s="1"/>
      <c r="L271" s="27"/>
      <c r="M271" s="27"/>
      <c r="N271" s="1"/>
      <c r="O271" s="45">
        <v>42898</v>
      </c>
      <c r="P271" s="1"/>
    </row>
    <row r="272" ht="26" spans="2:16">
      <c r="B272" s="1">
        <v>271</v>
      </c>
      <c r="C272" s="24" t="s">
        <v>735</v>
      </c>
      <c r="D272" s="24" t="s">
        <v>517</v>
      </c>
      <c r="E272" s="25"/>
      <c r="F272" s="24" t="s">
        <v>733</v>
      </c>
      <c r="G272" s="46" t="s">
        <v>736</v>
      </c>
      <c r="H272" s="47" t="s">
        <v>725</v>
      </c>
      <c r="I272" s="47" t="s">
        <v>709</v>
      </c>
      <c r="J272" s="29">
        <v>42796</v>
      </c>
      <c r="K272" s="1"/>
      <c r="L272" s="27"/>
      <c r="M272" s="27"/>
      <c r="N272" s="1"/>
      <c r="O272" s="45">
        <v>42898</v>
      </c>
      <c r="P272" s="1"/>
    </row>
    <row r="273" ht="26" spans="2:16">
      <c r="B273" s="1">
        <v>272</v>
      </c>
      <c r="C273" s="24" t="s">
        <v>737</v>
      </c>
      <c r="D273" s="24" t="s">
        <v>517</v>
      </c>
      <c r="E273" s="25"/>
      <c r="F273" s="24" t="s">
        <v>456</v>
      </c>
      <c r="G273" s="46" t="s">
        <v>738</v>
      </c>
      <c r="H273" s="47" t="s">
        <v>725</v>
      </c>
      <c r="I273" s="47" t="s">
        <v>709</v>
      </c>
      <c r="J273" s="29">
        <v>42739</v>
      </c>
      <c r="K273" s="1"/>
      <c r="L273" s="27"/>
      <c r="M273" s="27"/>
      <c r="N273" s="1"/>
      <c r="O273" s="45">
        <v>42898</v>
      </c>
      <c r="P273" s="1"/>
    </row>
    <row r="274" ht="26" spans="2:16">
      <c r="B274" s="1">
        <v>273</v>
      </c>
      <c r="C274" s="24" t="s">
        <v>739</v>
      </c>
      <c r="D274" s="24" t="s">
        <v>517</v>
      </c>
      <c r="E274" s="25"/>
      <c r="F274" s="24" t="s">
        <v>401</v>
      </c>
      <c r="G274" s="46" t="s">
        <v>740</v>
      </c>
      <c r="H274" s="47" t="s">
        <v>741</v>
      </c>
      <c r="I274" s="47" t="s">
        <v>709</v>
      </c>
      <c r="J274" s="29">
        <v>42590</v>
      </c>
      <c r="K274" s="1"/>
      <c r="L274" s="27"/>
      <c r="M274" s="27"/>
      <c r="N274" s="1"/>
      <c r="O274" s="45">
        <v>42898</v>
      </c>
      <c r="P274" s="1"/>
    </row>
    <row r="275" ht="39" spans="2:16">
      <c r="B275" s="1">
        <v>274</v>
      </c>
      <c r="C275" s="24" t="s">
        <v>742</v>
      </c>
      <c r="D275" s="24" t="s">
        <v>517</v>
      </c>
      <c r="E275" s="25"/>
      <c r="F275" s="24" t="s">
        <v>456</v>
      </c>
      <c r="G275" s="46" t="s">
        <v>743</v>
      </c>
      <c r="H275" s="47" t="s">
        <v>725</v>
      </c>
      <c r="I275" s="47" t="s">
        <v>709</v>
      </c>
      <c r="J275" s="29">
        <v>42738</v>
      </c>
      <c r="K275" s="1"/>
      <c r="L275" s="27"/>
      <c r="M275" s="27"/>
      <c r="N275" s="1"/>
      <c r="O275" s="45">
        <v>42898</v>
      </c>
      <c r="P275" s="1"/>
    </row>
    <row r="276" ht="26" spans="2:16">
      <c r="B276" s="1">
        <v>275</v>
      </c>
      <c r="C276" s="24" t="s">
        <v>744</v>
      </c>
      <c r="D276" s="24" t="s">
        <v>517</v>
      </c>
      <c r="E276" s="25"/>
      <c r="F276" s="24" t="s">
        <v>421</v>
      </c>
      <c r="G276" s="46" t="s">
        <v>745</v>
      </c>
      <c r="H276" s="47" t="s">
        <v>725</v>
      </c>
      <c r="I276" s="47" t="s">
        <v>709</v>
      </c>
      <c r="J276" s="29">
        <v>42738</v>
      </c>
      <c r="K276" s="1"/>
      <c r="L276" s="27"/>
      <c r="M276" s="27"/>
      <c r="N276" s="1"/>
      <c r="O276" s="45">
        <v>42898</v>
      </c>
      <c r="P276" s="1"/>
    </row>
    <row r="277" ht="26" spans="2:16">
      <c r="B277" s="1">
        <v>276</v>
      </c>
      <c r="C277" s="24" t="s">
        <v>746</v>
      </c>
      <c r="D277" s="24" t="s">
        <v>517</v>
      </c>
      <c r="E277" s="25"/>
      <c r="F277" s="24" t="s">
        <v>401</v>
      </c>
      <c r="G277" s="46" t="s">
        <v>747</v>
      </c>
      <c r="H277" s="47" t="s">
        <v>725</v>
      </c>
      <c r="I277" s="47" t="s">
        <v>709</v>
      </c>
      <c r="J277" s="29">
        <v>42738</v>
      </c>
      <c r="K277" s="1"/>
      <c r="L277" s="27"/>
      <c r="M277" s="27"/>
      <c r="N277" s="1"/>
      <c r="O277" s="45">
        <v>42898</v>
      </c>
      <c r="P277" s="1"/>
    </row>
    <row r="278" ht="26" spans="2:16">
      <c r="B278" s="1">
        <v>277</v>
      </c>
      <c r="C278" s="24" t="s">
        <v>748</v>
      </c>
      <c r="D278" s="24" t="s">
        <v>517</v>
      </c>
      <c r="E278" s="25"/>
      <c r="F278" s="24" t="s">
        <v>660</v>
      </c>
      <c r="G278" s="46" t="s">
        <v>749</v>
      </c>
      <c r="H278" s="47" t="s">
        <v>725</v>
      </c>
      <c r="I278" s="47" t="s">
        <v>709</v>
      </c>
      <c r="J278" s="29">
        <v>42738</v>
      </c>
      <c r="K278" s="1"/>
      <c r="L278" s="27"/>
      <c r="M278" s="27"/>
      <c r="N278" s="1"/>
      <c r="O278" s="45">
        <v>42898</v>
      </c>
      <c r="P278" s="1"/>
    </row>
    <row r="279" ht="26" spans="2:16">
      <c r="B279" s="1">
        <v>278</v>
      </c>
      <c r="C279" s="24" t="s">
        <v>750</v>
      </c>
      <c r="D279" s="24" t="s">
        <v>517</v>
      </c>
      <c r="E279" s="25"/>
      <c r="F279" s="24" t="s">
        <v>401</v>
      </c>
      <c r="G279" s="46" t="s">
        <v>751</v>
      </c>
      <c r="H279" s="47" t="s">
        <v>741</v>
      </c>
      <c r="I279" s="47" t="s">
        <v>709</v>
      </c>
      <c r="J279" s="29">
        <v>42584</v>
      </c>
      <c r="K279" s="1"/>
      <c r="L279" s="27"/>
      <c r="M279" s="27"/>
      <c r="N279" s="1"/>
      <c r="O279" s="45">
        <v>42898</v>
      </c>
      <c r="P279" s="1"/>
    </row>
    <row r="280" ht="26" spans="2:16">
      <c r="B280" s="1">
        <v>279</v>
      </c>
      <c r="C280" s="24" t="s">
        <v>752</v>
      </c>
      <c r="D280" s="24" t="s">
        <v>517</v>
      </c>
      <c r="E280" s="25"/>
      <c r="F280" s="24" t="s">
        <v>753</v>
      </c>
      <c r="G280" s="46" t="s">
        <v>754</v>
      </c>
      <c r="H280" s="47" t="s">
        <v>725</v>
      </c>
      <c r="I280" s="47" t="s">
        <v>709</v>
      </c>
      <c r="J280" s="29">
        <v>42738</v>
      </c>
      <c r="K280" s="1"/>
      <c r="L280" s="27"/>
      <c r="M280" s="27"/>
      <c r="N280" s="1"/>
      <c r="O280" s="45">
        <v>42898</v>
      </c>
      <c r="P280" s="1"/>
    </row>
    <row r="281" ht="26" spans="2:16">
      <c r="B281" s="1">
        <v>280</v>
      </c>
      <c r="C281" s="24" t="s">
        <v>755</v>
      </c>
      <c r="D281" s="24" t="s">
        <v>517</v>
      </c>
      <c r="E281" s="25"/>
      <c r="F281" s="24" t="s">
        <v>367</v>
      </c>
      <c r="G281" s="46" t="s">
        <v>756</v>
      </c>
      <c r="H281" s="47" t="s">
        <v>725</v>
      </c>
      <c r="I281" s="47" t="s">
        <v>709</v>
      </c>
      <c r="J281" s="29">
        <v>42738</v>
      </c>
      <c r="K281" s="1"/>
      <c r="L281" s="27"/>
      <c r="M281" s="27"/>
      <c r="N281" s="1"/>
      <c r="O281" s="45">
        <v>42898</v>
      </c>
      <c r="P281" s="1"/>
    </row>
    <row r="282" ht="26" spans="2:16">
      <c r="B282" s="1">
        <v>281</v>
      </c>
      <c r="C282" s="24" t="s">
        <v>757</v>
      </c>
      <c r="D282" s="24" t="s">
        <v>517</v>
      </c>
      <c r="E282" s="25"/>
      <c r="F282" s="24" t="s">
        <v>456</v>
      </c>
      <c r="G282" s="46" t="s">
        <v>758</v>
      </c>
      <c r="H282" s="47" t="s">
        <v>725</v>
      </c>
      <c r="I282" s="47" t="s">
        <v>709</v>
      </c>
      <c r="J282" s="29">
        <v>42738</v>
      </c>
      <c r="K282" s="1"/>
      <c r="L282" s="27"/>
      <c r="M282" s="27"/>
      <c r="N282" s="1"/>
      <c r="O282" s="45">
        <v>42898</v>
      </c>
      <c r="P282" s="1"/>
    </row>
    <row r="283" ht="26" spans="2:16">
      <c r="B283" s="1">
        <v>282</v>
      </c>
      <c r="C283" s="24" t="s">
        <v>759</v>
      </c>
      <c r="D283" s="24" t="s">
        <v>517</v>
      </c>
      <c r="E283" s="25"/>
      <c r="F283" s="24" t="s">
        <v>696</v>
      </c>
      <c r="G283" s="46" t="s">
        <v>760</v>
      </c>
      <c r="H283" s="47" t="s">
        <v>725</v>
      </c>
      <c r="I283" s="47" t="s">
        <v>709</v>
      </c>
      <c r="J283" s="29">
        <v>42738</v>
      </c>
      <c r="K283" s="1"/>
      <c r="L283" s="27"/>
      <c r="M283" s="27"/>
      <c r="N283" s="1"/>
      <c r="O283" s="45">
        <v>42898</v>
      </c>
      <c r="P283" s="1"/>
    </row>
    <row r="284" ht="26" spans="2:16">
      <c r="B284" s="1">
        <v>283</v>
      </c>
      <c r="C284" s="24" t="s">
        <v>761</v>
      </c>
      <c r="D284" s="24" t="s">
        <v>674</v>
      </c>
      <c r="E284" s="25"/>
      <c r="F284" s="24" t="s">
        <v>361</v>
      </c>
      <c r="G284" s="24"/>
      <c r="H284" s="1"/>
      <c r="I284" s="1"/>
      <c r="J284" s="29">
        <v>42767</v>
      </c>
      <c r="K284" s="1">
        <v>5.3303</v>
      </c>
      <c r="L284" s="27"/>
      <c r="M284" s="27"/>
      <c r="N284" s="1"/>
      <c r="O284" s="45">
        <v>42926</v>
      </c>
      <c r="P284" s="1"/>
    </row>
    <row r="285" ht="26" spans="2:16">
      <c r="B285" s="1">
        <v>284</v>
      </c>
      <c r="C285" s="24" t="s">
        <v>762</v>
      </c>
      <c r="D285" s="24" t="s">
        <v>674</v>
      </c>
      <c r="E285" s="25"/>
      <c r="F285" s="24" t="s">
        <v>361</v>
      </c>
      <c r="G285" s="24"/>
      <c r="H285" s="1"/>
      <c r="I285" s="1"/>
      <c r="J285" s="29">
        <v>42740</v>
      </c>
      <c r="K285" s="1">
        <v>27.1744</v>
      </c>
      <c r="L285" s="27"/>
      <c r="M285" s="27"/>
      <c r="N285" s="1"/>
      <c r="O285" s="45">
        <v>42926</v>
      </c>
      <c r="P285" s="1"/>
    </row>
    <row r="286" ht="26" spans="2:16">
      <c r="B286" s="1">
        <v>285</v>
      </c>
      <c r="C286" s="24" t="s">
        <v>763</v>
      </c>
      <c r="D286" s="24" t="s">
        <v>674</v>
      </c>
      <c r="E286" s="25"/>
      <c r="F286" s="24" t="s">
        <v>361</v>
      </c>
      <c r="G286" s="24"/>
      <c r="H286" s="1"/>
      <c r="I286" s="1"/>
      <c r="J286" s="29">
        <v>42814</v>
      </c>
      <c r="K286" s="1">
        <v>3.6456</v>
      </c>
      <c r="L286" s="27"/>
      <c r="M286" s="27"/>
      <c r="N286" s="1"/>
      <c r="O286" s="45">
        <v>42926</v>
      </c>
      <c r="P286" s="1"/>
    </row>
    <row r="287" ht="26" spans="2:16">
      <c r="B287" s="1">
        <v>286</v>
      </c>
      <c r="C287" s="24" t="s">
        <v>764</v>
      </c>
      <c r="D287" s="24" t="s">
        <v>674</v>
      </c>
      <c r="E287" s="25"/>
      <c r="F287" s="24" t="s">
        <v>361</v>
      </c>
      <c r="G287" s="24"/>
      <c r="H287" s="1"/>
      <c r="I287" s="1"/>
      <c r="J287" s="29">
        <v>42740</v>
      </c>
      <c r="K287" s="1">
        <v>2.1722</v>
      </c>
      <c r="L287" s="27"/>
      <c r="M287" s="27"/>
      <c r="N287" s="1"/>
      <c r="O287" s="45">
        <v>42926</v>
      </c>
      <c r="P287" s="1"/>
    </row>
    <row r="288" ht="26" spans="2:16">
      <c r="B288" s="1">
        <v>287</v>
      </c>
      <c r="C288" s="24" t="s">
        <v>765</v>
      </c>
      <c r="D288" s="24" t="s">
        <v>674</v>
      </c>
      <c r="E288" s="25"/>
      <c r="F288" s="24" t="s">
        <v>361</v>
      </c>
      <c r="G288" s="24"/>
      <c r="H288" s="1"/>
      <c r="I288" s="1"/>
      <c r="J288" s="29">
        <v>42740</v>
      </c>
      <c r="K288" s="1">
        <v>3.722</v>
      </c>
      <c r="L288" s="27"/>
      <c r="M288" s="27"/>
      <c r="N288" s="1"/>
      <c r="O288" s="45">
        <v>42926</v>
      </c>
      <c r="P288" s="1"/>
    </row>
    <row r="289" ht="26" spans="2:16">
      <c r="B289" s="1">
        <v>288</v>
      </c>
      <c r="C289" s="24" t="s">
        <v>766</v>
      </c>
      <c r="D289" s="24" t="s">
        <v>620</v>
      </c>
      <c r="E289" s="25"/>
      <c r="F289" s="24" t="s">
        <v>361</v>
      </c>
      <c r="G289" s="33" t="s">
        <v>767</v>
      </c>
      <c r="H289" s="47" t="s">
        <v>709</v>
      </c>
      <c r="I289" s="47" t="s">
        <v>709</v>
      </c>
      <c r="J289" s="29">
        <v>42621</v>
      </c>
      <c r="K289" s="1"/>
      <c r="L289" s="27"/>
      <c r="M289" s="27"/>
      <c r="N289" s="1"/>
      <c r="O289" s="45">
        <v>42926</v>
      </c>
      <c r="P289" s="1"/>
    </row>
    <row r="290" ht="26" spans="2:16">
      <c r="B290" s="1">
        <v>289</v>
      </c>
      <c r="C290" s="24" t="s">
        <v>768</v>
      </c>
      <c r="D290" s="24" t="s">
        <v>620</v>
      </c>
      <c r="E290" s="25"/>
      <c r="F290" s="24" t="s">
        <v>361</v>
      </c>
      <c r="G290" s="33" t="s">
        <v>769</v>
      </c>
      <c r="H290" s="47" t="s">
        <v>709</v>
      </c>
      <c r="I290" s="47" t="s">
        <v>709</v>
      </c>
      <c r="J290" s="29">
        <v>42684</v>
      </c>
      <c r="K290" s="1"/>
      <c r="L290" s="27"/>
      <c r="M290" s="27"/>
      <c r="N290" s="1"/>
      <c r="O290" s="45">
        <v>42926</v>
      </c>
      <c r="P290" s="1"/>
    </row>
    <row r="291" ht="26" spans="2:16">
      <c r="B291" s="1">
        <v>290</v>
      </c>
      <c r="C291" s="24" t="s">
        <v>770</v>
      </c>
      <c r="D291" s="24" t="s">
        <v>771</v>
      </c>
      <c r="E291" s="25"/>
      <c r="F291" s="24" t="s">
        <v>361</v>
      </c>
      <c r="G291" s="33" t="s">
        <v>772</v>
      </c>
      <c r="H291" s="47" t="s">
        <v>708</v>
      </c>
      <c r="I291" s="47" t="s">
        <v>709</v>
      </c>
      <c r="J291" s="29">
        <v>42767</v>
      </c>
      <c r="K291" s="1">
        <v>6</v>
      </c>
      <c r="L291" s="27"/>
      <c r="M291" s="27"/>
      <c r="N291" s="1"/>
      <c r="O291" s="45">
        <v>42926</v>
      </c>
      <c r="P291" s="1"/>
    </row>
    <row r="292" ht="39" spans="2:16">
      <c r="B292" s="1">
        <v>291</v>
      </c>
      <c r="C292" s="24" t="s">
        <v>773</v>
      </c>
      <c r="D292" s="24" t="s">
        <v>517</v>
      </c>
      <c r="E292" s="25"/>
      <c r="F292" s="24" t="s">
        <v>774</v>
      </c>
      <c r="G292" s="33" t="s">
        <v>775</v>
      </c>
      <c r="H292" s="47" t="s">
        <v>725</v>
      </c>
      <c r="I292" s="47" t="s">
        <v>709</v>
      </c>
      <c r="J292" s="29">
        <v>42872</v>
      </c>
      <c r="K292" s="1"/>
      <c r="L292" s="27"/>
      <c r="M292" s="27"/>
      <c r="N292" s="1"/>
      <c r="O292" s="45">
        <v>42942</v>
      </c>
      <c r="P292" s="1"/>
    </row>
    <row r="293" ht="39" spans="2:16">
      <c r="B293" s="1">
        <v>292</v>
      </c>
      <c r="C293" s="24" t="s">
        <v>776</v>
      </c>
      <c r="D293" s="24" t="s">
        <v>517</v>
      </c>
      <c r="E293" s="25"/>
      <c r="F293" s="24" t="s">
        <v>361</v>
      </c>
      <c r="G293" s="33" t="s">
        <v>777</v>
      </c>
      <c r="H293" s="47" t="s">
        <v>725</v>
      </c>
      <c r="I293" s="47" t="s">
        <v>709</v>
      </c>
      <c r="J293" s="29">
        <v>42872</v>
      </c>
      <c r="K293" s="1"/>
      <c r="L293" s="27"/>
      <c r="M293" s="27"/>
      <c r="N293" s="1"/>
      <c r="O293" s="45">
        <v>42942</v>
      </c>
      <c r="P293" s="1"/>
    </row>
    <row r="294" ht="26" spans="2:16">
      <c r="B294" s="1">
        <v>293</v>
      </c>
      <c r="C294" s="24" t="s">
        <v>778</v>
      </c>
      <c r="D294" s="24" t="s">
        <v>517</v>
      </c>
      <c r="E294" s="25"/>
      <c r="F294" s="24" t="s">
        <v>361</v>
      </c>
      <c r="G294" s="33" t="s">
        <v>779</v>
      </c>
      <c r="H294" s="47" t="s">
        <v>725</v>
      </c>
      <c r="I294" s="47" t="s">
        <v>709</v>
      </c>
      <c r="J294" s="29">
        <v>42872</v>
      </c>
      <c r="K294" s="1"/>
      <c r="L294" s="27"/>
      <c r="M294" s="27"/>
      <c r="N294" s="1"/>
      <c r="O294" s="45">
        <v>42942</v>
      </c>
      <c r="P294" s="1"/>
    </row>
    <row r="295" ht="26" spans="2:16">
      <c r="B295" s="1">
        <v>294</v>
      </c>
      <c r="C295" s="24" t="s">
        <v>780</v>
      </c>
      <c r="D295" s="24" t="s">
        <v>517</v>
      </c>
      <c r="E295" s="25"/>
      <c r="F295" s="24" t="s">
        <v>781</v>
      </c>
      <c r="G295" s="33" t="s">
        <v>782</v>
      </c>
      <c r="H295" s="47" t="s">
        <v>725</v>
      </c>
      <c r="I295" s="47" t="s">
        <v>709</v>
      </c>
      <c r="J295" s="29">
        <v>42872</v>
      </c>
      <c r="K295" s="1"/>
      <c r="L295" s="27"/>
      <c r="M295" s="27"/>
      <c r="N295" s="1"/>
      <c r="O295" s="45">
        <v>42942</v>
      </c>
      <c r="P295" s="1"/>
    </row>
    <row r="296" ht="26" spans="2:16">
      <c r="B296" s="1">
        <v>295</v>
      </c>
      <c r="C296" s="24" t="s">
        <v>783</v>
      </c>
      <c r="D296" s="24" t="s">
        <v>517</v>
      </c>
      <c r="E296" s="25"/>
      <c r="F296" s="24" t="s">
        <v>401</v>
      </c>
      <c r="G296" s="33" t="s">
        <v>784</v>
      </c>
      <c r="H296" s="47" t="s">
        <v>725</v>
      </c>
      <c r="I296" s="47" t="s">
        <v>709</v>
      </c>
      <c r="J296" s="29">
        <v>42872</v>
      </c>
      <c r="K296" s="1"/>
      <c r="L296" s="27"/>
      <c r="M296" s="27"/>
      <c r="N296" s="1"/>
      <c r="O296" s="45">
        <v>42942</v>
      </c>
      <c r="P296" s="1"/>
    </row>
    <row r="297" ht="26" spans="2:16">
      <c r="B297" s="1">
        <v>296</v>
      </c>
      <c r="C297" s="24" t="s">
        <v>785</v>
      </c>
      <c r="D297" s="24" t="s">
        <v>517</v>
      </c>
      <c r="E297" s="25"/>
      <c r="F297" s="24" t="s">
        <v>401</v>
      </c>
      <c r="G297" s="33" t="s">
        <v>786</v>
      </c>
      <c r="H297" s="47" t="s">
        <v>725</v>
      </c>
      <c r="I297" s="47" t="s">
        <v>709</v>
      </c>
      <c r="J297" s="29">
        <v>42872</v>
      </c>
      <c r="K297" s="1"/>
      <c r="L297" s="27"/>
      <c r="M297" s="27"/>
      <c r="N297" s="1"/>
      <c r="O297" s="45">
        <v>42942</v>
      </c>
      <c r="P297" s="1"/>
    </row>
    <row r="298" ht="26" spans="2:16">
      <c r="B298" s="1">
        <v>297</v>
      </c>
      <c r="C298" s="24" t="s">
        <v>787</v>
      </c>
      <c r="D298" s="24" t="s">
        <v>788</v>
      </c>
      <c r="E298" s="25"/>
      <c r="F298" s="24" t="s">
        <v>365</v>
      </c>
      <c r="G298" s="33" t="s">
        <v>789</v>
      </c>
      <c r="H298" s="47" t="s">
        <v>725</v>
      </c>
      <c r="I298" s="47" t="s">
        <v>709</v>
      </c>
      <c r="J298" s="29">
        <v>42887</v>
      </c>
      <c r="K298" s="1"/>
      <c r="L298" s="27"/>
      <c r="M298" s="27"/>
      <c r="N298" s="1"/>
      <c r="O298" s="45">
        <v>42942</v>
      </c>
      <c r="P298" s="1"/>
    </row>
    <row r="299" ht="26" spans="2:16">
      <c r="B299" s="1">
        <v>298</v>
      </c>
      <c r="C299" s="24" t="s">
        <v>790</v>
      </c>
      <c r="D299" s="24" t="s">
        <v>791</v>
      </c>
      <c r="E299" s="25"/>
      <c r="F299" s="24"/>
      <c r="G299" s="33" t="s">
        <v>792</v>
      </c>
      <c r="H299" s="47" t="s">
        <v>793</v>
      </c>
      <c r="I299" s="47" t="s">
        <v>709</v>
      </c>
      <c r="J299" s="29">
        <v>42786</v>
      </c>
      <c r="K299" s="1"/>
      <c r="L299" s="27"/>
      <c r="M299" s="27"/>
      <c r="N299" s="1"/>
      <c r="O299" s="45">
        <v>42944</v>
      </c>
      <c r="P299" s="1"/>
    </row>
    <row r="300" ht="26" spans="2:16">
      <c r="B300" s="1">
        <v>299</v>
      </c>
      <c r="C300" s="24" t="s">
        <v>794</v>
      </c>
      <c r="D300" s="24" t="s">
        <v>620</v>
      </c>
      <c r="E300" s="25"/>
      <c r="F300" s="24" t="s">
        <v>361</v>
      </c>
      <c r="G300" s="33" t="s">
        <v>795</v>
      </c>
      <c r="H300" s="47" t="s">
        <v>709</v>
      </c>
      <c r="I300" s="47" t="s">
        <v>709</v>
      </c>
      <c r="J300" s="29">
        <v>42744</v>
      </c>
      <c r="K300" s="1"/>
      <c r="L300" s="27"/>
      <c r="M300" s="27"/>
      <c r="N300" s="1"/>
      <c r="O300" s="45">
        <v>42944</v>
      </c>
      <c r="P300" s="1"/>
    </row>
    <row r="301" ht="26" spans="2:16">
      <c r="B301" s="1">
        <v>300</v>
      </c>
      <c r="C301" s="24" t="s">
        <v>796</v>
      </c>
      <c r="D301" s="24" t="s">
        <v>797</v>
      </c>
      <c r="E301" s="25"/>
      <c r="F301" s="24" t="s">
        <v>798</v>
      </c>
      <c r="G301" s="33" t="s">
        <v>799</v>
      </c>
      <c r="H301" s="47" t="s">
        <v>708</v>
      </c>
      <c r="I301" s="47" t="s">
        <v>800</v>
      </c>
      <c r="J301" s="29">
        <v>42874</v>
      </c>
      <c r="K301" s="1"/>
      <c r="L301" s="27"/>
      <c r="M301" s="27"/>
      <c r="N301" s="1"/>
      <c r="O301" s="45">
        <v>42944</v>
      </c>
      <c r="P301" s="1"/>
    </row>
    <row r="302" ht="26" spans="2:16">
      <c r="B302" s="1">
        <v>301</v>
      </c>
      <c r="C302" s="24" t="s">
        <v>801</v>
      </c>
      <c r="D302" s="24" t="s">
        <v>472</v>
      </c>
      <c r="E302" s="25"/>
      <c r="F302" s="24" t="s">
        <v>401</v>
      </c>
      <c r="G302" s="33" t="s">
        <v>802</v>
      </c>
      <c r="H302" s="47" t="s">
        <v>803</v>
      </c>
      <c r="I302" s="47" t="s">
        <v>709</v>
      </c>
      <c r="J302" s="29">
        <v>42838</v>
      </c>
      <c r="K302" s="1">
        <v>13.4</v>
      </c>
      <c r="L302" s="27"/>
      <c r="M302" s="27"/>
      <c r="N302" s="1"/>
      <c r="O302" s="45">
        <v>43008</v>
      </c>
      <c r="P302" s="1"/>
    </row>
    <row r="303" ht="26" spans="2:16">
      <c r="B303" s="1">
        <v>302</v>
      </c>
      <c r="C303" s="24" t="s">
        <v>804</v>
      </c>
      <c r="D303" s="24" t="s">
        <v>472</v>
      </c>
      <c r="E303" s="25"/>
      <c r="F303" s="24" t="s">
        <v>401</v>
      </c>
      <c r="G303" s="33" t="s">
        <v>805</v>
      </c>
      <c r="H303" s="47" t="s">
        <v>803</v>
      </c>
      <c r="I303" s="47" t="s">
        <v>709</v>
      </c>
      <c r="J303" s="29">
        <v>42838</v>
      </c>
      <c r="K303" s="1">
        <v>23.5</v>
      </c>
      <c r="L303" s="27"/>
      <c r="M303" s="27"/>
      <c r="N303" s="1"/>
      <c r="O303" s="45">
        <v>43008</v>
      </c>
      <c r="P303" s="1"/>
    </row>
    <row r="304" ht="26" spans="2:16">
      <c r="B304" s="1">
        <v>303</v>
      </c>
      <c r="C304" s="24" t="s">
        <v>806</v>
      </c>
      <c r="D304" s="24" t="s">
        <v>807</v>
      </c>
      <c r="E304" s="14">
        <v>200000</v>
      </c>
      <c r="F304" s="24" t="s">
        <v>808</v>
      </c>
      <c r="G304" s="33" t="s">
        <v>809</v>
      </c>
      <c r="H304" s="47" t="s">
        <v>708</v>
      </c>
      <c r="I304" s="47" t="s">
        <v>800</v>
      </c>
      <c r="J304" s="29">
        <v>42909</v>
      </c>
      <c r="K304" s="1"/>
      <c r="L304" s="27"/>
      <c r="M304" s="27"/>
      <c r="N304" s="1"/>
      <c r="O304" s="45">
        <v>43008</v>
      </c>
      <c r="P304" s="1"/>
    </row>
    <row r="305" ht="26" spans="2:16">
      <c r="B305" s="1">
        <v>304</v>
      </c>
      <c r="C305" s="24" t="s">
        <v>810</v>
      </c>
      <c r="D305" s="24" t="s">
        <v>811</v>
      </c>
      <c r="E305" s="25"/>
      <c r="F305" s="24" t="s">
        <v>808</v>
      </c>
      <c r="G305" s="33" t="s">
        <v>812</v>
      </c>
      <c r="H305" s="47" t="s">
        <v>813</v>
      </c>
      <c r="I305" s="47" t="s">
        <v>709</v>
      </c>
      <c r="J305" s="29">
        <v>43021</v>
      </c>
      <c r="K305" s="1">
        <v>196</v>
      </c>
      <c r="L305" s="27"/>
      <c r="M305" s="27"/>
      <c r="N305" s="1"/>
      <c r="O305" s="45">
        <v>43032</v>
      </c>
      <c r="P305" s="1"/>
    </row>
    <row r="306" ht="26" spans="2:16">
      <c r="B306" s="1">
        <v>305</v>
      </c>
      <c r="C306" s="24" t="s">
        <v>814</v>
      </c>
      <c r="D306" s="24" t="s">
        <v>692</v>
      </c>
      <c r="E306" s="25"/>
      <c r="F306" s="24" t="s">
        <v>365</v>
      </c>
      <c r="G306" s="33" t="s">
        <v>815</v>
      </c>
      <c r="H306" s="47" t="s">
        <v>709</v>
      </c>
      <c r="I306" s="47" t="s">
        <v>709</v>
      </c>
      <c r="J306" s="29">
        <v>42988</v>
      </c>
      <c r="K306" s="1">
        <v>45.8</v>
      </c>
      <c r="L306" s="27"/>
      <c r="M306" s="27"/>
      <c r="N306" s="1"/>
      <c r="O306" s="45">
        <v>43032</v>
      </c>
      <c r="P306" s="1"/>
    </row>
    <row r="307" ht="39" spans="2:16">
      <c r="B307" s="1">
        <v>306</v>
      </c>
      <c r="C307" s="24" t="s">
        <v>816</v>
      </c>
      <c r="D307" s="24" t="s">
        <v>817</v>
      </c>
      <c r="E307" s="25"/>
      <c r="F307" s="24" t="s">
        <v>719</v>
      </c>
      <c r="G307" s="33" t="s">
        <v>818</v>
      </c>
      <c r="H307" s="47" t="s">
        <v>819</v>
      </c>
      <c r="I307" s="47" t="s">
        <v>709</v>
      </c>
      <c r="J307" s="29">
        <v>42865</v>
      </c>
      <c r="K307" s="1"/>
      <c r="L307" s="27"/>
      <c r="M307" s="27"/>
      <c r="N307" s="1"/>
      <c r="O307" s="45">
        <v>43032</v>
      </c>
      <c r="P307" s="1"/>
    </row>
    <row r="308" ht="26" spans="2:16">
      <c r="B308" s="1">
        <v>307</v>
      </c>
      <c r="C308" s="24" t="s">
        <v>820</v>
      </c>
      <c r="D308" s="24" t="s">
        <v>817</v>
      </c>
      <c r="E308" s="25"/>
      <c r="F308" s="24" t="s">
        <v>719</v>
      </c>
      <c r="G308" s="33" t="s">
        <v>818</v>
      </c>
      <c r="H308" s="47" t="s">
        <v>819</v>
      </c>
      <c r="I308" s="47" t="s">
        <v>709</v>
      </c>
      <c r="J308" s="29">
        <v>42865</v>
      </c>
      <c r="K308" s="1"/>
      <c r="L308" s="27"/>
      <c r="M308" s="27"/>
      <c r="N308" s="1"/>
      <c r="O308" s="45">
        <v>43032</v>
      </c>
      <c r="P308" s="1"/>
    </row>
    <row r="309" ht="39" spans="2:16">
      <c r="B309" s="1">
        <v>308</v>
      </c>
      <c r="C309" s="24" t="s">
        <v>821</v>
      </c>
      <c r="D309" s="24" t="s">
        <v>817</v>
      </c>
      <c r="E309" s="25"/>
      <c r="F309" s="24" t="s">
        <v>719</v>
      </c>
      <c r="G309" s="33" t="s">
        <v>818</v>
      </c>
      <c r="H309" s="47" t="s">
        <v>819</v>
      </c>
      <c r="I309" s="47" t="s">
        <v>709</v>
      </c>
      <c r="J309" s="29">
        <v>42865</v>
      </c>
      <c r="K309" s="1"/>
      <c r="L309" s="27"/>
      <c r="M309" s="27"/>
      <c r="N309" s="1"/>
      <c r="O309" s="45">
        <v>43032</v>
      </c>
      <c r="P309" s="1"/>
    </row>
    <row r="310" ht="39" spans="2:16">
      <c r="B310" s="1">
        <v>309</v>
      </c>
      <c r="C310" s="24" t="s">
        <v>822</v>
      </c>
      <c r="D310" s="24" t="s">
        <v>817</v>
      </c>
      <c r="E310" s="25"/>
      <c r="F310" s="24" t="s">
        <v>719</v>
      </c>
      <c r="G310" s="33" t="s">
        <v>818</v>
      </c>
      <c r="H310" s="47" t="s">
        <v>819</v>
      </c>
      <c r="I310" s="47" t="s">
        <v>709</v>
      </c>
      <c r="J310" s="29">
        <v>42865</v>
      </c>
      <c r="K310" s="1"/>
      <c r="L310" s="27"/>
      <c r="M310" s="27"/>
      <c r="N310" s="1"/>
      <c r="O310" s="45">
        <v>43032</v>
      </c>
      <c r="P310" s="1"/>
    </row>
    <row r="311" ht="26" spans="2:16">
      <c r="B311" s="1">
        <v>310</v>
      </c>
      <c r="C311" s="24" t="s">
        <v>823</v>
      </c>
      <c r="D311" s="24" t="s">
        <v>771</v>
      </c>
      <c r="E311" s="25"/>
      <c r="F311" s="24" t="s">
        <v>808</v>
      </c>
      <c r="G311" s="33" t="s">
        <v>824</v>
      </c>
      <c r="H311" s="47" t="s">
        <v>708</v>
      </c>
      <c r="I311" s="47" t="s">
        <v>800</v>
      </c>
      <c r="J311" s="29">
        <v>42818</v>
      </c>
      <c r="K311" s="1"/>
      <c r="L311" s="27"/>
      <c r="M311" s="27"/>
      <c r="N311" s="1"/>
      <c r="O311" s="45">
        <v>43040</v>
      </c>
      <c r="P311" s="1"/>
    </row>
    <row r="312" ht="26" spans="2:16">
      <c r="B312" s="1">
        <v>311</v>
      </c>
      <c r="C312" s="24" t="s">
        <v>825</v>
      </c>
      <c r="D312" s="24" t="s">
        <v>656</v>
      </c>
      <c r="E312" s="25"/>
      <c r="F312" s="24" t="s">
        <v>365</v>
      </c>
      <c r="G312" s="33" t="s">
        <v>826</v>
      </c>
      <c r="H312" s="47" t="s">
        <v>709</v>
      </c>
      <c r="I312" s="47" t="s">
        <v>709</v>
      </c>
      <c r="J312" s="29">
        <v>42949</v>
      </c>
      <c r="K312" s="1">
        <v>48.0529</v>
      </c>
      <c r="L312" s="27"/>
      <c r="M312" s="27"/>
      <c r="N312" s="1"/>
      <c r="O312" s="45">
        <v>43119</v>
      </c>
      <c r="P312" s="1"/>
    </row>
    <row r="313" ht="26" spans="2:16">
      <c r="B313" s="1">
        <v>312</v>
      </c>
      <c r="C313" s="24" t="s">
        <v>827</v>
      </c>
      <c r="D313" s="24" t="s">
        <v>695</v>
      </c>
      <c r="E313" s="25"/>
      <c r="F313" s="24" t="s">
        <v>828</v>
      </c>
      <c r="G313" s="33" t="s">
        <v>829</v>
      </c>
      <c r="H313" s="47" t="s">
        <v>709</v>
      </c>
      <c r="I313" s="47" t="s">
        <v>709</v>
      </c>
      <c r="J313" s="29">
        <v>42453</v>
      </c>
      <c r="K313" s="1">
        <v>37.85</v>
      </c>
      <c r="L313" s="27"/>
      <c r="M313" s="27"/>
      <c r="N313" s="1"/>
      <c r="O313" s="45">
        <v>43119</v>
      </c>
      <c r="P313" s="1"/>
    </row>
    <row r="314" spans="2:16">
      <c r="B314" s="1">
        <v>313</v>
      </c>
      <c r="C314" s="24" t="s">
        <v>830</v>
      </c>
      <c r="D314" s="24" t="s">
        <v>695</v>
      </c>
      <c r="E314" s="25"/>
      <c r="F314" s="24" t="s">
        <v>831</v>
      </c>
      <c r="G314" s="33" t="s">
        <v>832</v>
      </c>
      <c r="H314" s="47" t="s">
        <v>709</v>
      </c>
      <c r="I314" s="47" t="s">
        <v>709</v>
      </c>
      <c r="J314" s="29">
        <v>42318</v>
      </c>
      <c r="K314" s="1">
        <v>4.07</v>
      </c>
      <c r="L314" s="27"/>
      <c r="M314" s="27"/>
      <c r="N314" s="1"/>
      <c r="O314" s="45">
        <v>43119</v>
      </c>
      <c r="P314" s="1"/>
    </row>
    <row r="315" ht="26" spans="2:16">
      <c r="B315" s="1">
        <v>314</v>
      </c>
      <c r="C315" s="24" t="s">
        <v>833</v>
      </c>
      <c r="D315" s="24" t="s">
        <v>674</v>
      </c>
      <c r="E315" s="25"/>
      <c r="F315" s="24" t="s">
        <v>361</v>
      </c>
      <c r="G315" s="24"/>
      <c r="H315" s="1"/>
      <c r="I315" s="1"/>
      <c r="J315" s="29">
        <v>42873</v>
      </c>
      <c r="K315" s="1">
        <v>3.8062</v>
      </c>
      <c r="L315" s="27"/>
      <c r="M315" s="27"/>
      <c r="N315" s="1"/>
      <c r="O315" s="45">
        <v>43119</v>
      </c>
      <c r="P315" s="1"/>
    </row>
    <row r="316" ht="26" spans="2:16">
      <c r="B316" s="1">
        <v>315</v>
      </c>
      <c r="C316" s="24" t="s">
        <v>834</v>
      </c>
      <c r="D316" s="24" t="s">
        <v>674</v>
      </c>
      <c r="E316" s="25"/>
      <c r="F316" s="24" t="s">
        <v>361</v>
      </c>
      <c r="G316" s="24"/>
      <c r="H316" s="1"/>
      <c r="I316" s="1"/>
      <c r="J316" s="29">
        <v>42800</v>
      </c>
      <c r="K316" s="1">
        <v>27.1381</v>
      </c>
      <c r="L316" s="27"/>
      <c r="M316" s="27"/>
      <c r="N316" s="1"/>
      <c r="O316" s="45">
        <v>43119</v>
      </c>
      <c r="P316" s="1"/>
    </row>
    <row r="317" ht="39" spans="2:16">
      <c r="B317" s="1">
        <v>316</v>
      </c>
      <c r="C317" s="24" t="s">
        <v>835</v>
      </c>
      <c r="D317" s="24" t="s">
        <v>674</v>
      </c>
      <c r="E317" s="25"/>
      <c r="F317" s="24" t="s">
        <v>361</v>
      </c>
      <c r="G317" s="24"/>
      <c r="H317" s="1"/>
      <c r="I317" s="1"/>
      <c r="J317" s="29">
        <v>42906</v>
      </c>
      <c r="K317" s="1">
        <v>13.6912</v>
      </c>
      <c r="L317" s="27"/>
      <c r="M317" s="27"/>
      <c r="N317" s="1"/>
      <c r="O317" s="45">
        <v>43119</v>
      </c>
      <c r="P317" s="1"/>
    </row>
    <row r="318" ht="26" spans="2:16">
      <c r="B318" s="1">
        <v>317</v>
      </c>
      <c r="C318" s="24" t="s">
        <v>836</v>
      </c>
      <c r="D318" s="24" t="s">
        <v>674</v>
      </c>
      <c r="E318" s="25"/>
      <c r="F318" s="24" t="s">
        <v>361</v>
      </c>
      <c r="G318" s="24"/>
      <c r="H318" s="1"/>
      <c r="I318" s="1"/>
      <c r="J318" s="29">
        <v>42877</v>
      </c>
      <c r="K318" s="1">
        <v>9.55</v>
      </c>
      <c r="L318" s="27"/>
      <c r="M318" s="27"/>
      <c r="N318" s="1"/>
      <c r="O318" s="45">
        <v>43119</v>
      </c>
      <c r="P318" s="1"/>
    </row>
    <row r="319" ht="26" spans="2:16">
      <c r="B319" s="1">
        <v>318</v>
      </c>
      <c r="C319" s="24" t="s">
        <v>837</v>
      </c>
      <c r="D319" s="24" t="s">
        <v>674</v>
      </c>
      <c r="E319" s="25"/>
      <c r="F319" s="24" t="s">
        <v>361</v>
      </c>
      <c r="G319" s="24"/>
      <c r="H319" s="1"/>
      <c r="I319" s="1"/>
      <c r="J319" s="29">
        <v>42885</v>
      </c>
      <c r="K319" s="1">
        <v>4.0075</v>
      </c>
      <c r="L319" s="27"/>
      <c r="M319" s="27"/>
      <c r="N319" s="1"/>
      <c r="O319" s="45">
        <v>43119</v>
      </c>
      <c r="P319" s="1"/>
    </row>
    <row r="320" ht="26" spans="2:16">
      <c r="B320" s="1">
        <v>319</v>
      </c>
      <c r="C320" s="24" t="s">
        <v>838</v>
      </c>
      <c r="D320" s="24" t="s">
        <v>674</v>
      </c>
      <c r="E320" s="25"/>
      <c r="F320" s="24" t="s">
        <v>361</v>
      </c>
      <c r="G320" s="24"/>
      <c r="H320" s="1"/>
      <c r="I320" s="1"/>
      <c r="J320" s="29">
        <v>42874</v>
      </c>
      <c r="K320" s="1">
        <v>23.6776</v>
      </c>
      <c r="L320" s="27"/>
      <c r="M320" s="27"/>
      <c r="N320" s="1"/>
      <c r="O320" s="45">
        <v>43119</v>
      </c>
      <c r="P320" s="1"/>
    </row>
    <row r="321" ht="26" spans="2:16">
      <c r="B321" s="1">
        <v>320</v>
      </c>
      <c r="C321" s="24" t="s">
        <v>839</v>
      </c>
      <c r="D321" s="24" t="s">
        <v>674</v>
      </c>
      <c r="E321" s="25"/>
      <c r="F321" s="24" t="s">
        <v>361</v>
      </c>
      <c r="G321" s="24"/>
      <c r="H321" s="1"/>
      <c r="I321" s="1"/>
      <c r="J321" s="29">
        <v>42887</v>
      </c>
      <c r="K321" s="1">
        <v>3.4992</v>
      </c>
      <c r="L321" s="27"/>
      <c r="M321" s="27"/>
      <c r="N321" s="1"/>
      <c r="O321" s="45">
        <v>43119</v>
      </c>
      <c r="P321" s="1"/>
    </row>
    <row r="322" ht="26" spans="2:16">
      <c r="B322" s="1">
        <v>321</v>
      </c>
      <c r="C322" s="24" t="s">
        <v>840</v>
      </c>
      <c r="D322" s="24" t="s">
        <v>674</v>
      </c>
      <c r="E322" s="25"/>
      <c r="F322" s="24" t="s">
        <v>361</v>
      </c>
      <c r="G322" s="24"/>
      <c r="H322" s="1"/>
      <c r="I322" s="1"/>
      <c r="J322" s="29">
        <v>42936</v>
      </c>
      <c r="K322" s="1">
        <v>2.1734</v>
      </c>
      <c r="L322" s="27"/>
      <c r="M322" s="27"/>
      <c r="N322" s="1"/>
      <c r="O322" s="45">
        <v>43119</v>
      </c>
      <c r="P322" s="1"/>
    </row>
    <row r="323" ht="39" spans="2:16">
      <c r="B323" s="1">
        <v>322</v>
      </c>
      <c r="C323" s="24" t="s">
        <v>841</v>
      </c>
      <c r="D323" s="24" t="s">
        <v>842</v>
      </c>
      <c r="E323" s="25"/>
      <c r="F323" s="24" t="s">
        <v>843</v>
      </c>
      <c r="G323" s="33" t="s">
        <v>844</v>
      </c>
      <c r="H323" s="47" t="s">
        <v>708</v>
      </c>
      <c r="I323" s="47" t="s">
        <v>800</v>
      </c>
      <c r="J323" s="29">
        <v>42852</v>
      </c>
      <c r="K323" s="1"/>
      <c r="L323" s="27"/>
      <c r="M323" s="27"/>
      <c r="N323" s="1"/>
      <c r="O323" s="45">
        <v>43119</v>
      </c>
      <c r="P323" s="1"/>
    </row>
    <row r="324" ht="26" spans="2:16">
      <c r="B324" s="1">
        <v>323</v>
      </c>
      <c r="C324" s="24" t="s">
        <v>845</v>
      </c>
      <c r="D324" s="24" t="s">
        <v>620</v>
      </c>
      <c r="E324" s="25"/>
      <c r="F324" s="24" t="s">
        <v>733</v>
      </c>
      <c r="G324" s="33" t="s">
        <v>846</v>
      </c>
      <c r="H324" s="47" t="s">
        <v>709</v>
      </c>
      <c r="I324" s="47" t="s">
        <v>709</v>
      </c>
      <c r="J324" s="29">
        <v>42821</v>
      </c>
      <c r="K324" s="1"/>
      <c r="L324" s="27"/>
      <c r="M324" s="27"/>
      <c r="N324" s="1"/>
      <c r="O324" s="45">
        <v>43119</v>
      </c>
      <c r="P324" s="1"/>
    </row>
    <row r="325" ht="26" spans="2:16">
      <c r="B325" s="1">
        <v>324</v>
      </c>
      <c r="C325" s="24" t="s">
        <v>847</v>
      </c>
      <c r="D325" s="24" t="s">
        <v>416</v>
      </c>
      <c r="E325" s="25"/>
      <c r="F325" s="24" t="s">
        <v>365</v>
      </c>
      <c r="G325" s="33" t="s">
        <v>848</v>
      </c>
      <c r="H325" s="47" t="s">
        <v>709</v>
      </c>
      <c r="I325" s="47" t="s">
        <v>709</v>
      </c>
      <c r="J325" s="29">
        <v>42755</v>
      </c>
      <c r="K325" s="1">
        <v>64</v>
      </c>
      <c r="L325" s="27"/>
      <c r="M325" s="27"/>
      <c r="N325" s="1"/>
      <c r="O325" s="45">
        <v>43119</v>
      </c>
      <c r="P325" s="1"/>
    </row>
    <row r="326" ht="26" spans="2:16">
      <c r="B326" s="1">
        <v>325</v>
      </c>
      <c r="C326" s="24" t="s">
        <v>849</v>
      </c>
      <c r="D326" s="24" t="s">
        <v>850</v>
      </c>
      <c r="E326" s="25"/>
      <c r="F326" s="24" t="s">
        <v>851</v>
      </c>
      <c r="G326" s="33" t="s">
        <v>852</v>
      </c>
      <c r="H326" s="47" t="s">
        <v>709</v>
      </c>
      <c r="I326" s="47" t="s">
        <v>709</v>
      </c>
      <c r="J326" s="29">
        <v>42991</v>
      </c>
      <c r="K326" s="1" t="s">
        <v>853</v>
      </c>
      <c r="L326" s="27"/>
      <c r="M326" s="27"/>
      <c r="N326" s="1"/>
      <c r="O326" s="45">
        <v>43119</v>
      </c>
      <c r="P326" s="1"/>
    </row>
    <row r="327" ht="26" spans="2:16">
      <c r="B327" s="1">
        <v>326</v>
      </c>
      <c r="C327" s="24" t="s">
        <v>854</v>
      </c>
      <c r="D327" s="24" t="s">
        <v>855</v>
      </c>
      <c r="E327" s="25"/>
      <c r="F327" s="24" t="s">
        <v>365</v>
      </c>
      <c r="G327" s="33" t="s">
        <v>856</v>
      </c>
      <c r="H327" s="47" t="s">
        <v>857</v>
      </c>
      <c r="I327" s="47" t="s">
        <v>709</v>
      </c>
      <c r="J327" s="29">
        <v>42787</v>
      </c>
      <c r="K327" s="1">
        <v>30</v>
      </c>
      <c r="L327" s="27"/>
      <c r="M327" s="27"/>
      <c r="N327" s="1"/>
      <c r="O327" s="45">
        <v>43119</v>
      </c>
      <c r="P327" s="1"/>
    </row>
    <row r="328" ht="26" spans="2:16">
      <c r="B328" s="1">
        <v>327</v>
      </c>
      <c r="C328" s="24" t="s">
        <v>858</v>
      </c>
      <c r="D328" s="24" t="s">
        <v>620</v>
      </c>
      <c r="E328" s="25"/>
      <c r="F328" s="24" t="s">
        <v>733</v>
      </c>
      <c r="G328" s="33" t="s">
        <v>859</v>
      </c>
      <c r="H328" s="47" t="s">
        <v>709</v>
      </c>
      <c r="I328" s="47" t="s">
        <v>709</v>
      </c>
      <c r="J328" s="29">
        <v>42864</v>
      </c>
      <c r="K328" s="1"/>
      <c r="L328" s="27"/>
      <c r="M328" s="27"/>
      <c r="N328" s="1"/>
      <c r="O328" s="45">
        <v>43139</v>
      </c>
      <c r="P328" s="1"/>
    </row>
    <row r="329" ht="26" spans="2:16">
      <c r="B329" s="1">
        <v>328</v>
      </c>
      <c r="C329" s="24" t="s">
        <v>860</v>
      </c>
      <c r="D329" s="24" t="s">
        <v>620</v>
      </c>
      <c r="E329" s="25"/>
      <c r="F329" s="24" t="s">
        <v>733</v>
      </c>
      <c r="G329" s="33" t="s">
        <v>861</v>
      </c>
      <c r="H329" s="47" t="s">
        <v>709</v>
      </c>
      <c r="I329" s="47" t="s">
        <v>709</v>
      </c>
      <c r="J329" s="29">
        <v>42871</v>
      </c>
      <c r="K329" s="1"/>
      <c r="L329" s="27"/>
      <c r="M329" s="27"/>
      <c r="N329" s="1"/>
      <c r="O329" s="45">
        <v>43139</v>
      </c>
      <c r="P329" s="1"/>
    </row>
    <row r="330" ht="26" spans="2:16">
      <c r="B330" s="1">
        <v>329</v>
      </c>
      <c r="C330" s="24" t="s">
        <v>862</v>
      </c>
      <c r="D330" s="24" t="s">
        <v>620</v>
      </c>
      <c r="E330" s="25"/>
      <c r="F330" s="24" t="s">
        <v>733</v>
      </c>
      <c r="G330" s="33" t="s">
        <v>863</v>
      </c>
      <c r="H330" s="47" t="s">
        <v>709</v>
      </c>
      <c r="I330" s="47" t="s">
        <v>709</v>
      </c>
      <c r="J330" s="29">
        <v>42929</v>
      </c>
      <c r="K330" s="1"/>
      <c r="L330" s="27"/>
      <c r="M330" s="27"/>
      <c r="N330" s="1"/>
      <c r="O330" s="45">
        <v>43139</v>
      </c>
      <c r="P330" s="1"/>
    </row>
    <row r="331" ht="26" spans="2:16">
      <c r="B331" s="1">
        <v>330</v>
      </c>
      <c r="C331" s="24" t="s">
        <v>864</v>
      </c>
      <c r="D331" s="24" t="s">
        <v>620</v>
      </c>
      <c r="E331" s="25"/>
      <c r="F331" s="24" t="s">
        <v>733</v>
      </c>
      <c r="G331" s="33" t="s">
        <v>865</v>
      </c>
      <c r="H331" s="47" t="s">
        <v>709</v>
      </c>
      <c r="I331" s="47" t="s">
        <v>709</v>
      </c>
      <c r="J331" s="29">
        <v>42950</v>
      </c>
      <c r="K331" s="1"/>
      <c r="L331" s="27"/>
      <c r="M331" s="27"/>
      <c r="N331" s="1"/>
      <c r="O331" s="45">
        <v>43139</v>
      </c>
      <c r="P331" s="1"/>
    </row>
    <row r="332" ht="26" spans="2:16">
      <c r="B332" s="1">
        <v>331</v>
      </c>
      <c r="C332" s="24" t="s">
        <v>866</v>
      </c>
      <c r="D332" s="24" t="s">
        <v>867</v>
      </c>
      <c r="E332" s="25"/>
      <c r="F332" s="24" t="s">
        <v>868</v>
      </c>
      <c r="G332" s="46" t="s">
        <v>869</v>
      </c>
      <c r="H332" s="47" t="s">
        <v>709</v>
      </c>
      <c r="I332" s="47" t="s">
        <v>709</v>
      </c>
      <c r="J332" s="29">
        <v>43101</v>
      </c>
      <c r="K332" s="1">
        <v>19</v>
      </c>
      <c r="L332" s="27"/>
      <c r="M332" s="27"/>
      <c r="N332" s="1"/>
      <c r="O332" s="45">
        <v>43178</v>
      </c>
      <c r="P332" s="1"/>
    </row>
    <row r="333" ht="26" spans="2:16">
      <c r="B333" s="1">
        <v>332</v>
      </c>
      <c r="C333" s="24" t="s">
        <v>870</v>
      </c>
      <c r="D333" s="24" t="s">
        <v>517</v>
      </c>
      <c r="E333" s="14"/>
      <c r="F333" s="24" t="s">
        <v>401</v>
      </c>
      <c r="G333" s="46" t="s">
        <v>871</v>
      </c>
      <c r="H333" s="47" t="s">
        <v>725</v>
      </c>
      <c r="I333" s="47" t="s">
        <v>709</v>
      </c>
      <c r="J333" s="29"/>
      <c r="K333" s="1"/>
      <c r="L333" s="27"/>
      <c r="M333" s="27"/>
      <c r="N333" s="1"/>
      <c r="O333" s="45">
        <v>43178</v>
      </c>
      <c r="P333" s="1"/>
    </row>
    <row r="334" ht="26" spans="2:16">
      <c r="B334" s="1">
        <v>333</v>
      </c>
      <c r="C334" s="24" t="s">
        <v>872</v>
      </c>
      <c r="D334" s="24" t="s">
        <v>517</v>
      </c>
      <c r="E334" s="14"/>
      <c r="F334" s="24" t="s">
        <v>873</v>
      </c>
      <c r="G334" s="46" t="s">
        <v>874</v>
      </c>
      <c r="H334" s="47" t="s">
        <v>725</v>
      </c>
      <c r="I334" s="47" t="s">
        <v>709</v>
      </c>
      <c r="J334" s="29"/>
      <c r="K334" s="1"/>
      <c r="L334" s="27"/>
      <c r="M334" s="27"/>
      <c r="N334" s="1"/>
      <c r="O334" s="45">
        <v>43178</v>
      </c>
      <c r="P334" s="1"/>
    </row>
    <row r="335" ht="26" spans="2:16">
      <c r="B335" s="1">
        <v>334</v>
      </c>
      <c r="C335" s="24" t="s">
        <v>875</v>
      </c>
      <c r="D335" s="24" t="s">
        <v>517</v>
      </c>
      <c r="E335" s="14"/>
      <c r="F335" s="24" t="s">
        <v>876</v>
      </c>
      <c r="G335" s="46" t="s">
        <v>877</v>
      </c>
      <c r="H335" s="47" t="s">
        <v>725</v>
      </c>
      <c r="I335" s="47" t="s">
        <v>709</v>
      </c>
      <c r="J335" s="29"/>
      <c r="K335" s="1"/>
      <c r="L335" s="27"/>
      <c r="M335" s="27"/>
      <c r="N335" s="1"/>
      <c r="O335" s="45">
        <v>43178</v>
      </c>
      <c r="P335" s="1"/>
    </row>
    <row r="336" ht="39" spans="2:16">
      <c r="B336" s="1">
        <v>335</v>
      </c>
      <c r="C336" s="24" t="s">
        <v>878</v>
      </c>
      <c r="D336" s="24" t="s">
        <v>879</v>
      </c>
      <c r="E336" s="25"/>
      <c r="F336" s="24" t="s">
        <v>880</v>
      </c>
      <c r="G336" s="46" t="s">
        <v>881</v>
      </c>
      <c r="H336" s="47" t="s">
        <v>725</v>
      </c>
      <c r="I336" s="47" t="s">
        <v>709</v>
      </c>
      <c r="J336" s="29">
        <v>43055</v>
      </c>
      <c r="K336" s="1"/>
      <c r="L336" s="27"/>
      <c r="M336" s="27"/>
      <c r="N336" s="1"/>
      <c r="O336" s="45">
        <v>43178</v>
      </c>
      <c r="P336" s="1"/>
    </row>
    <row r="337" ht="39" spans="2:16">
      <c r="B337" s="1">
        <v>336</v>
      </c>
      <c r="C337" s="24" t="s">
        <v>882</v>
      </c>
      <c r="D337" s="24" t="s">
        <v>643</v>
      </c>
      <c r="E337" s="25"/>
      <c r="F337" s="24" t="s">
        <v>365</v>
      </c>
      <c r="G337" s="46" t="s">
        <v>883</v>
      </c>
      <c r="H337" s="47" t="s">
        <v>884</v>
      </c>
      <c r="I337" s="47" t="s">
        <v>709</v>
      </c>
      <c r="J337" s="29">
        <v>42887</v>
      </c>
      <c r="K337" s="1">
        <v>141.68823</v>
      </c>
      <c r="L337" s="27"/>
      <c r="M337" s="27"/>
      <c r="N337" s="1"/>
      <c r="O337" s="45">
        <v>43178</v>
      </c>
      <c r="P337" s="1"/>
    </row>
    <row r="338" ht="26" spans="2:16">
      <c r="B338" s="1">
        <v>337</v>
      </c>
      <c r="C338" s="24" t="s">
        <v>885</v>
      </c>
      <c r="D338" s="24" t="s">
        <v>517</v>
      </c>
      <c r="E338" s="25"/>
      <c r="F338" s="24" t="s">
        <v>401</v>
      </c>
      <c r="G338" s="46" t="s">
        <v>886</v>
      </c>
      <c r="H338" s="47" t="s">
        <v>725</v>
      </c>
      <c r="I338" s="47" t="s">
        <v>709</v>
      </c>
      <c r="J338" s="29">
        <v>42944</v>
      </c>
      <c r="K338" s="1"/>
      <c r="L338" s="27"/>
      <c r="M338" s="27"/>
      <c r="N338" s="1"/>
      <c r="O338" s="45">
        <v>43179</v>
      </c>
      <c r="P338" s="1"/>
    </row>
    <row r="339" ht="26" spans="2:16">
      <c r="B339" s="1">
        <v>338</v>
      </c>
      <c r="C339" s="24" t="s">
        <v>887</v>
      </c>
      <c r="D339" s="24" t="s">
        <v>517</v>
      </c>
      <c r="E339" s="25"/>
      <c r="F339" s="24" t="s">
        <v>888</v>
      </c>
      <c r="G339" s="46" t="s">
        <v>889</v>
      </c>
      <c r="H339" s="47" t="s">
        <v>725</v>
      </c>
      <c r="I339" s="47" t="s">
        <v>709</v>
      </c>
      <c r="J339" s="29">
        <v>43035</v>
      </c>
      <c r="K339" s="1"/>
      <c r="L339" s="27"/>
      <c r="M339" s="27"/>
      <c r="N339" s="1"/>
      <c r="O339" s="45">
        <v>43179</v>
      </c>
      <c r="P339" s="1"/>
    </row>
    <row r="340" ht="26" spans="2:16">
      <c r="B340" s="1">
        <v>339</v>
      </c>
      <c r="C340" s="24" t="s">
        <v>890</v>
      </c>
      <c r="D340" s="24" t="s">
        <v>517</v>
      </c>
      <c r="E340" s="25"/>
      <c r="F340" s="24" t="s">
        <v>873</v>
      </c>
      <c r="G340" s="46" t="s">
        <v>891</v>
      </c>
      <c r="H340" s="47" t="s">
        <v>725</v>
      </c>
      <c r="I340" s="47" t="s">
        <v>709</v>
      </c>
      <c r="J340" s="29">
        <v>42926</v>
      </c>
      <c r="K340" s="1"/>
      <c r="L340" s="27"/>
      <c r="M340" s="27"/>
      <c r="N340" s="1"/>
      <c r="O340" s="45">
        <v>43179</v>
      </c>
      <c r="P340" s="1"/>
    </row>
    <row r="341" ht="26" spans="2:16">
      <c r="B341" s="1">
        <v>340</v>
      </c>
      <c r="C341" s="24" t="s">
        <v>892</v>
      </c>
      <c r="D341" s="24" t="s">
        <v>517</v>
      </c>
      <c r="E341" s="25"/>
      <c r="F341" s="24" t="s">
        <v>696</v>
      </c>
      <c r="G341" s="46" t="s">
        <v>893</v>
      </c>
      <c r="H341" s="47" t="s">
        <v>725</v>
      </c>
      <c r="I341" s="47" t="s">
        <v>709</v>
      </c>
      <c r="J341" s="29">
        <v>43025</v>
      </c>
      <c r="K341" s="1"/>
      <c r="L341" s="27"/>
      <c r="M341" s="27"/>
      <c r="N341" s="1"/>
      <c r="O341" s="45">
        <v>43179</v>
      </c>
      <c r="P341" s="1"/>
    </row>
    <row r="342" ht="39" spans="2:16">
      <c r="B342" s="1">
        <v>341</v>
      </c>
      <c r="C342" s="24" t="s">
        <v>894</v>
      </c>
      <c r="D342" s="24" t="s">
        <v>517</v>
      </c>
      <c r="E342" s="25"/>
      <c r="F342" s="24" t="s">
        <v>895</v>
      </c>
      <c r="G342" s="46" t="s">
        <v>896</v>
      </c>
      <c r="H342" s="47" t="s">
        <v>725</v>
      </c>
      <c r="I342" s="47" t="s">
        <v>709</v>
      </c>
      <c r="J342" s="29">
        <v>42943</v>
      </c>
      <c r="K342" s="1"/>
      <c r="L342" s="27"/>
      <c r="M342" s="27"/>
      <c r="N342" s="1"/>
      <c r="O342" s="45">
        <v>43179</v>
      </c>
      <c r="P342" s="1"/>
    </row>
    <row r="343" ht="39" spans="2:16">
      <c r="B343" s="1">
        <v>342</v>
      </c>
      <c r="C343" s="24" t="s">
        <v>897</v>
      </c>
      <c r="D343" s="24" t="s">
        <v>517</v>
      </c>
      <c r="E343" s="25"/>
      <c r="F343" s="24" t="s">
        <v>696</v>
      </c>
      <c r="G343" s="46" t="s">
        <v>898</v>
      </c>
      <c r="H343" s="47" t="s">
        <v>725</v>
      </c>
      <c r="I343" s="47" t="s">
        <v>709</v>
      </c>
      <c r="J343" s="29">
        <v>43025</v>
      </c>
      <c r="K343" s="1"/>
      <c r="L343" s="27"/>
      <c r="M343" s="27"/>
      <c r="N343" s="1"/>
      <c r="O343" s="45">
        <v>43179</v>
      </c>
      <c r="P343" s="1"/>
    </row>
    <row r="344" ht="26" spans="2:16">
      <c r="B344" s="1">
        <v>343</v>
      </c>
      <c r="C344" s="24" t="s">
        <v>899</v>
      </c>
      <c r="D344" s="24" t="s">
        <v>517</v>
      </c>
      <c r="E344" s="25"/>
      <c r="F344" s="24" t="s">
        <v>696</v>
      </c>
      <c r="G344" s="46" t="s">
        <v>900</v>
      </c>
      <c r="H344" s="47" t="s">
        <v>725</v>
      </c>
      <c r="I344" s="47" t="s">
        <v>709</v>
      </c>
      <c r="J344" s="29">
        <v>42943</v>
      </c>
      <c r="K344" s="1"/>
      <c r="L344" s="27"/>
      <c r="M344" s="27"/>
      <c r="N344" s="1"/>
      <c r="O344" s="45">
        <v>43179</v>
      </c>
      <c r="P344" s="1"/>
    </row>
    <row r="345" ht="39" spans="2:16">
      <c r="B345" s="1">
        <v>344</v>
      </c>
      <c r="C345" s="24" t="s">
        <v>901</v>
      </c>
      <c r="D345" s="24" t="s">
        <v>517</v>
      </c>
      <c r="E345" s="25"/>
      <c r="F345" s="24" t="s">
        <v>895</v>
      </c>
      <c r="G345" s="46" t="s">
        <v>896</v>
      </c>
      <c r="H345" s="47" t="s">
        <v>725</v>
      </c>
      <c r="I345" s="47" t="s">
        <v>709</v>
      </c>
      <c r="J345" s="29">
        <v>42943</v>
      </c>
      <c r="K345" s="1"/>
      <c r="L345" s="27"/>
      <c r="M345" s="27"/>
      <c r="N345" s="1"/>
      <c r="O345" s="45">
        <v>43179</v>
      </c>
      <c r="P345" s="1"/>
    </row>
    <row r="346" ht="26" spans="2:16">
      <c r="B346" s="1">
        <v>345</v>
      </c>
      <c r="C346" s="24" t="s">
        <v>902</v>
      </c>
      <c r="D346" s="24" t="s">
        <v>517</v>
      </c>
      <c r="E346" s="25"/>
      <c r="F346" s="24" t="s">
        <v>696</v>
      </c>
      <c r="G346" s="46" t="s">
        <v>903</v>
      </c>
      <c r="H346" s="47" t="s">
        <v>725</v>
      </c>
      <c r="I346" s="47" t="s">
        <v>709</v>
      </c>
      <c r="J346" s="29">
        <v>42944</v>
      </c>
      <c r="K346" s="1"/>
      <c r="L346" s="27"/>
      <c r="M346" s="27"/>
      <c r="N346" s="1"/>
      <c r="O346" s="45">
        <v>43179</v>
      </c>
      <c r="P346" s="1"/>
    </row>
    <row r="347" ht="39" spans="2:16">
      <c r="B347" s="1">
        <v>346</v>
      </c>
      <c r="C347" s="24" t="s">
        <v>904</v>
      </c>
      <c r="D347" s="24" t="s">
        <v>674</v>
      </c>
      <c r="E347" s="14"/>
      <c r="F347" s="24" t="s">
        <v>361</v>
      </c>
      <c r="G347" s="24"/>
      <c r="H347" s="1"/>
      <c r="I347" s="1"/>
      <c r="J347" s="29"/>
      <c r="K347" s="1">
        <v>11.1408</v>
      </c>
      <c r="L347" s="27"/>
      <c r="M347" s="27"/>
      <c r="N347" s="1"/>
      <c r="O347" s="45">
        <v>43185</v>
      </c>
      <c r="P347" s="1"/>
    </row>
    <row r="348" ht="26" spans="2:16">
      <c r="B348" s="1">
        <v>347</v>
      </c>
      <c r="C348" s="24" t="s">
        <v>905</v>
      </c>
      <c r="D348" s="24" t="s">
        <v>674</v>
      </c>
      <c r="E348" s="14"/>
      <c r="F348" s="24" t="s">
        <v>361</v>
      </c>
      <c r="G348" s="24"/>
      <c r="H348" s="1"/>
      <c r="I348" s="1"/>
      <c r="J348" s="29"/>
      <c r="K348" s="1">
        <v>0.9511</v>
      </c>
      <c r="L348" s="27"/>
      <c r="M348" s="27"/>
      <c r="N348" s="1"/>
      <c r="O348" s="45">
        <v>43185</v>
      </c>
      <c r="P348" s="1"/>
    </row>
    <row r="349" ht="26" spans="2:16">
      <c r="B349" s="1">
        <v>348</v>
      </c>
      <c r="C349" s="24" t="s">
        <v>906</v>
      </c>
      <c r="D349" s="24" t="s">
        <v>674</v>
      </c>
      <c r="E349" s="14"/>
      <c r="F349" s="24" t="s">
        <v>361</v>
      </c>
      <c r="G349" s="24"/>
      <c r="H349" s="1"/>
      <c r="I349" s="1"/>
      <c r="J349" s="29"/>
      <c r="K349" s="1">
        <v>3.4594</v>
      </c>
      <c r="L349" s="27"/>
      <c r="M349" s="27"/>
      <c r="N349" s="1"/>
      <c r="O349" s="45">
        <v>43185</v>
      </c>
      <c r="P349" s="1"/>
    </row>
    <row r="350" ht="39" spans="2:16">
      <c r="B350" s="1">
        <v>349</v>
      </c>
      <c r="C350" s="24" t="s">
        <v>907</v>
      </c>
      <c r="D350" s="24" t="s">
        <v>674</v>
      </c>
      <c r="E350" s="14"/>
      <c r="F350" s="24" t="s">
        <v>361</v>
      </c>
      <c r="G350" s="24"/>
      <c r="H350" s="1"/>
      <c r="I350" s="1"/>
      <c r="J350" s="29"/>
      <c r="K350" s="1">
        <v>16.5837</v>
      </c>
      <c r="L350" s="27"/>
      <c r="M350" s="27"/>
      <c r="N350" s="1"/>
      <c r="O350" s="45">
        <v>43185</v>
      </c>
      <c r="P350" s="1"/>
    </row>
    <row r="351" spans="2:16">
      <c r="B351" s="1">
        <v>350</v>
      </c>
      <c r="C351" s="24" t="s">
        <v>908</v>
      </c>
      <c r="D351" s="24" t="s">
        <v>674</v>
      </c>
      <c r="E351" s="14"/>
      <c r="F351" s="24" t="s">
        <v>361</v>
      </c>
      <c r="G351" s="24"/>
      <c r="H351" s="1"/>
      <c r="I351" s="1"/>
      <c r="J351" s="29"/>
      <c r="K351" s="1">
        <v>15.1607</v>
      </c>
      <c r="L351" s="27"/>
      <c r="M351" s="27"/>
      <c r="N351" s="1"/>
      <c r="O351" s="45">
        <v>43185</v>
      </c>
      <c r="P351" s="1"/>
    </row>
    <row r="352" spans="2:16">
      <c r="B352" s="1">
        <v>351</v>
      </c>
      <c r="C352" s="24" t="s">
        <v>909</v>
      </c>
      <c r="D352" s="24" t="s">
        <v>674</v>
      </c>
      <c r="E352" s="14"/>
      <c r="F352" s="24" t="s">
        <v>361</v>
      </c>
      <c r="G352" s="24"/>
      <c r="H352" s="1"/>
      <c r="I352" s="1"/>
      <c r="J352" s="29"/>
      <c r="K352" s="1">
        <v>15.3568</v>
      </c>
      <c r="L352" s="27"/>
      <c r="M352" s="27"/>
      <c r="N352" s="1"/>
      <c r="O352" s="45">
        <v>43185</v>
      </c>
      <c r="P352" s="1"/>
    </row>
    <row r="353" ht="18" customHeight="1" spans="2:16">
      <c r="B353" s="1">
        <v>352</v>
      </c>
      <c r="C353" s="24" t="s">
        <v>910</v>
      </c>
      <c r="D353" s="24" t="s">
        <v>674</v>
      </c>
      <c r="E353" s="14"/>
      <c r="F353" s="24" t="s">
        <v>361</v>
      </c>
      <c r="G353" s="24"/>
      <c r="H353" s="1"/>
      <c r="I353" s="1"/>
      <c r="J353" s="29"/>
      <c r="K353" s="1">
        <v>16.2779</v>
      </c>
      <c r="L353" s="27"/>
      <c r="M353" s="27"/>
      <c r="N353" s="1"/>
      <c r="O353" s="45">
        <v>43185</v>
      </c>
      <c r="P353" s="1"/>
    </row>
    <row r="354" ht="39" spans="2:16">
      <c r="B354" s="1">
        <v>353</v>
      </c>
      <c r="C354" s="24" t="s">
        <v>911</v>
      </c>
      <c r="D354" s="24" t="s">
        <v>912</v>
      </c>
      <c r="E354" s="25"/>
      <c r="F354" s="24" t="s">
        <v>562</v>
      </c>
      <c r="G354" s="46" t="s">
        <v>913</v>
      </c>
      <c r="H354" s="47" t="s">
        <v>914</v>
      </c>
      <c r="I354" s="47" t="s">
        <v>709</v>
      </c>
      <c r="J354" s="29">
        <v>43041</v>
      </c>
      <c r="K354" s="1"/>
      <c r="L354" s="27"/>
      <c r="M354" s="27"/>
      <c r="N354" s="1"/>
      <c r="O354" s="45">
        <v>43199</v>
      </c>
      <c r="P354" s="1"/>
    </row>
    <row r="355" ht="42.6" customHeight="1" spans="2:16">
      <c r="B355" s="1">
        <v>354</v>
      </c>
      <c r="C355" s="24" t="s">
        <v>915</v>
      </c>
      <c r="D355" s="24" t="s">
        <v>916</v>
      </c>
      <c r="E355" s="25"/>
      <c r="F355" s="24" t="s">
        <v>831</v>
      </c>
      <c r="G355" s="46" t="s">
        <v>917</v>
      </c>
      <c r="H355" s="47" t="s">
        <v>914</v>
      </c>
      <c r="I355" s="47" t="s">
        <v>709</v>
      </c>
      <c r="J355" s="29">
        <v>43088</v>
      </c>
      <c r="K355" s="1"/>
      <c r="L355" s="27"/>
      <c r="M355" s="27"/>
      <c r="N355" s="1"/>
      <c r="O355" s="45">
        <v>43199</v>
      </c>
      <c r="P355" s="1"/>
    </row>
    <row r="356" spans="2:16">
      <c r="B356" s="1">
        <v>355</v>
      </c>
      <c r="C356" s="24" t="s">
        <v>918</v>
      </c>
      <c r="D356" s="24" t="s">
        <v>919</v>
      </c>
      <c r="E356" s="25"/>
      <c r="F356" s="24"/>
      <c r="G356" s="24"/>
      <c r="H356" s="1"/>
      <c r="I356" s="1"/>
      <c r="J356" s="29">
        <v>43217</v>
      </c>
      <c r="K356" s="1"/>
      <c r="L356" s="27"/>
      <c r="M356" s="27"/>
      <c r="N356" s="1"/>
      <c r="O356" s="45">
        <v>43231</v>
      </c>
      <c r="P356" s="1"/>
    </row>
    <row r="357" ht="30.6" customHeight="1" spans="2:16">
      <c r="B357" s="1">
        <v>356</v>
      </c>
      <c r="C357" s="24" t="s">
        <v>920</v>
      </c>
      <c r="D357" s="24" t="s">
        <v>921</v>
      </c>
      <c r="E357" s="14"/>
      <c r="F357" s="24" t="s">
        <v>922</v>
      </c>
      <c r="G357" s="46" t="s">
        <v>923</v>
      </c>
      <c r="H357" s="47" t="s">
        <v>924</v>
      </c>
      <c r="I357" s="47" t="s">
        <v>709</v>
      </c>
      <c r="J357" s="29"/>
      <c r="K357" s="1"/>
      <c r="L357" s="27"/>
      <c r="M357" s="27"/>
      <c r="N357" s="1"/>
      <c r="O357" s="45">
        <v>43237</v>
      </c>
      <c r="P357" s="1"/>
    </row>
    <row r="358" ht="52" spans="2:16">
      <c r="B358" s="1">
        <v>357</v>
      </c>
      <c r="C358" s="24" t="s">
        <v>925</v>
      </c>
      <c r="D358" s="24" t="s">
        <v>771</v>
      </c>
      <c r="E358" s="25"/>
      <c r="F358" s="24" t="s">
        <v>926</v>
      </c>
      <c r="G358" s="46" t="s">
        <v>927</v>
      </c>
      <c r="H358" s="47" t="s">
        <v>708</v>
      </c>
      <c r="I358" s="47" t="s">
        <v>857</v>
      </c>
      <c r="J358" s="29">
        <v>43251</v>
      </c>
      <c r="K358" s="1"/>
      <c r="L358" s="27"/>
      <c r="M358" s="27"/>
      <c r="N358" s="1"/>
      <c r="O358" s="45">
        <v>43277</v>
      </c>
      <c r="P358" s="1"/>
    </row>
    <row r="359" ht="26" spans="2:16">
      <c r="B359" s="1">
        <v>358</v>
      </c>
      <c r="C359" s="24" t="s">
        <v>928</v>
      </c>
      <c r="D359" s="24" t="s">
        <v>517</v>
      </c>
      <c r="E359" s="25"/>
      <c r="F359" s="24" t="s">
        <v>696</v>
      </c>
      <c r="G359" s="46" t="s">
        <v>929</v>
      </c>
      <c r="H359" s="47" t="s">
        <v>725</v>
      </c>
      <c r="I359" s="47" t="s">
        <v>709</v>
      </c>
      <c r="J359" s="29">
        <v>43073</v>
      </c>
      <c r="K359" s="1"/>
      <c r="L359" s="27"/>
      <c r="M359" s="27"/>
      <c r="N359" s="1"/>
      <c r="O359" s="45">
        <v>43298</v>
      </c>
      <c r="P359" s="1"/>
    </row>
    <row r="360" ht="39" spans="2:16">
      <c r="B360" s="1">
        <v>359</v>
      </c>
      <c r="C360" s="24" t="s">
        <v>930</v>
      </c>
      <c r="D360" s="24" t="s">
        <v>517</v>
      </c>
      <c r="E360" s="25"/>
      <c r="F360" s="24" t="s">
        <v>931</v>
      </c>
      <c r="G360" s="46" t="s">
        <v>932</v>
      </c>
      <c r="H360" s="47" t="s">
        <v>725</v>
      </c>
      <c r="I360" s="47" t="s">
        <v>709</v>
      </c>
      <c r="J360" s="29">
        <v>43103</v>
      </c>
      <c r="K360" s="1"/>
      <c r="L360" s="27"/>
      <c r="M360" s="27"/>
      <c r="N360" s="1"/>
      <c r="O360" s="45">
        <v>43298</v>
      </c>
      <c r="P360" s="1"/>
    </row>
    <row r="361" ht="26" spans="2:16">
      <c r="B361" s="1">
        <v>360</v>
      </c>
      <c r="C361" s="24" t="s">
        <v>933</v>
      </c>
      <c r="D361" s="24" t="s">
        <v>517</v>
      </c>
      <c r="E361" s="25"/>
      <c r="F361" s="24" t="s">
        <v>931</v>
      </c>
      <c r="G361" s="46" t="s">
        <v>934</v>
      </c>
      <c r="H361" s="47" t="s">
        <v>725</v>
      </c>
      <c r="I361" s="47" t="s">
        <v>709</v>
      </c>
      <c r="J361" s="29">
        <v>43103</v>
      </c>
      <c r="K361" s="1"/>
      <c r="L361" s="27"/>
      <c r="M361" s="27"/>
      <c r="N361" s="1"/>
      <c r="O361" s="45">
        <v>43298</v>
      </c>
      <c r="P361" s="1"/>
    </row>
    <row r="362" ht="26" spans="2:16">
      <c r="B362" s="1">
        <v>361</v>
      </c>
      <c r="C362" s="24" t="s">
        <v>935</v>
      </c>
      <c r="D362" s="24" t="s">
        <v>517</v>
      </c>
      <c r="E362" s="25"/>
      <c r="F362" s="24" t="s">
        <v>873</v>
      </c>
      <c r="G362" s="46" t="s">
        <v>936</v>
      </c>
      <c r="H362" s="47" t="s">
        <v>725</v>
      </c>
      <c r="I362" s="47" t="s">
        <v>709</v>
      </c>
      <c r="J362" s="29">
        <v>43103</v>
      </c>
      <c r="K362" s="1"/>
      <c r="L362" s="27"/>
      <c r="M362" s="27"/>
      <c r="N362" s="1"/>
      <c r="O362" s="45">
        <v>43298</v>
      </c>
      <c r="P362" s="1"/>
    </row>
    <row r="363" ht="26" spans="2:16">
      <c r="B363" s="1">
        <v>362</v>
      </c>
      <c r="C363" s="24" t="s">
        <v>937</v>
      </c>
      <c r="D363" s="24" t="s">
        <v>517</v>
      </c>
      <c r="E363" s="25"/>
      <c r="F363" s="24" t="s">
        <v>876</v>
      </c>
      <c r="G363" s="46" t="s">
        <v>938</v>
      </c>
      <c r="H363" s="47" t="s">
        <v>725</v>
      </c>
      <c r="I363" s="47" t="s">
        <v>709</v>
      </c>
      <c r="J363" s="29">
        <v>43103</v>
      </c>
      <c r="K363" s="1"/>
      <c r="L363" s="27"/>
      <c r="M363" s="27"/>
      <c r="N363" s="1"/>
      <c r="O363" s="45">
        <v>43298</v>
      </c>
      <c r="P363" s="1"/>
    </row>
    <row r="364" ht="26" spans="2:16">
      <c r="B364" s="1">
        <v>363</v>
      </c>
      <c r="C364" s="24" t="s">
        <v>939</v>
      </c>
      <c r="D364" s="24" t="s">
        <v>517</v>
      </c>
      <c r="E364" s="25"/>
      <c r="F364" s="24" t="s">
        <v>931</v>
      </c>
      <c r="G364" s="46" t="s">
        <v>940</v>
      </c>
      <c r="H364" s="47" t="s">
        <v>725</v>
      </c>
      <c r="I364" s="47" t="s">
        <v>709</v>
      </c>
      <c r="J364" s="29">
        <v>43160</v>
      </c>
      <c r="K364" s="1"/>
      <c r="L364" s="27"/>
      <c r="M364" s="27"/>
      <c r="N364" s="1"/>
      <c r="O364" s="45">
        <v>43298</v>
      </c>
      <c r="P364" s="1"/>
    </row>
    <row r="365" ht="26" spans="2:16">
      <c r="B365" s="1">
        <v>364</v>
      </c>
      <c r="C365" s="24" t="s">
        <v>941</v>
      </c>
      <c r="D365" s="24" t="s">
        <v>517</v>
      </c>
      <c r="E365" s="25"/>
      <c r="F365" s="24" t="s">
        <v>696</v>
      </c>
      <c r="G365" s="46" t="s">
        <v>942</v>
      </c>
      <c r="H365" s="47" t="s">
        <v>725</v>
      </c>
      <c r="I365" s="47" t="s">
        <v>709</v>
      </c>
      <c r="J365" s="29">
        <v>43171</v>
      </c>
      <c r="K365" s="1"/>
      <c r="L365" s="27"/>
      <c r="M365" s="27"/>
      <c r="N365" s="1"/>
      <c r="O365" s="45">
        <v>43298</v>
      </c>
      <c r="P365" s="1"/>
    </row>
    <row r="366" ht="26" spans="2:16">
      <c r="B366" s="1">
        <v>365</v>
      </c>
      <c r="C366" s="24" t="s">
        <v>943</v>
      </c>
      <c r="D366" s="24" t="s">
        <v>517</v>
      </c>
      <c r="E366" s="25"/>
      <c r="F366" s="24" t="s">
        <v>931</v>
      </c>
      <c r="G366" s="46" t="s">
        <v>877</v>
      </c>
      <c r="H366" s="47" t="s">
        <v>725</v>
      </c>
      <c r="I366" s="47" t="s">
        <v>709</v>
      </c>
      <c r="J366" s="29">
        <v>43019</v>
      </c>
      <c r="K366" s="1"/>
      <c r="L366" s="27"/>
      <c r="M366" s="27"/>
      <c r="N366" s="1"/>
      <c r="O366" s="45">
        <v>43298</v>
      </c>
      <c r="P366" s="1"/>
    </row>
    <row r="367" ht="26" spans="2:16">
      <c r="B367" s="1">
        <v>366</v>
      </c>
      <c r="C367" s="24" t="s">
        <v>944</v>
      </c>
      <c r="D367" s="24" t="s">
        <v>517</v>
      </c>
      <c r="E367" s="25"/>
      <c r="F367" s="24" t="s">
        <v>931</v>
      </c>
      <c r="G367" s="46" t="s">
        <v>874</v>
      </c>
      <c r="H367" s="47" t="s">
        <v>725</v>
      </c>
      <c r="I367" s="47" t="s">
        <v>709</v>
      </c>
      <c r="J367" s="29">
        <v>43019</v>
      </c>
      <c r="K367" s="1"/>
      <c r="L367" s="27"/>
      <c r="M367" s="27"/>
      <c r="N367" s="1"/>
      <c r="O367" s="45">
        <v>43298</v>
      </c>
      <c r="P367" s="1"/>
    </row>
    <row r="368" ht="26" spans="2:16">
      <c r="B368" s="1">
        <v>367</v>
      </c>
      <c r="C368" s="24" t="s">
        <v>945</v>
      </c>
      <c r="D368" s="24" t="s">
        <v>517</v>
      </c>
      <c r="E368" s="25"/>
      <c r="F368" s="24" t="s">
        <v>946</v>
      </c>
      <c r="G368" s="46" t="s">
        <v>947</v>
      </c>
      <c r="H368" s="47" t="s">
        <v>725</v>
      </c>
      <c r="I368" s="47" t="s">
        <v>709</v>
      </c>
      <c r="J368" s="29">
        <v>43041</v>
      </c>
      <c r="K368" s="1"/>
      <c r="L368" s="27"/>
      <c r="M368" s="27"/>
      <c r="N368" s="1"/>
      <c r="O368" s="45">
        <v>43298</v>
      </c>
      <c r="P368" s="1"/>
    </row>
    <row r="369" ht="39" spans="2:16">
      <c r="B369" s="1">
        <v>368</v>
      </c>
      <c r="C369" s="24" t="s">
        <v>948</v>
      </c>
      <c r="D369" s="24" t="s">
        <v>485</v>
      </c>
      <c r="E369" s="25"/>
      <c r="F369" s="24" t="s">
        <v>949</v>
      </c>
      <c r="G369" s="46" t="s">
        <v>950</v>
      </c>
      <c r="H369" s="47" t="s">
        <v>884</v>
      </c>
      <c r="I369" s="47" t="s">
        <v>709</v>
      </c>
      <c r="J369" s="29">
        <v>43070</v>
      </c>
      <c r="K369" s="1"/>
      <c r="L369" s="27"/>
      <c r="M369" s="27"/>
      <c r="N369" s="1"/>
      <c r="O369" s="45">
        <v>43322</v>
      </c>
      <c r="P369" s="1"/>
    </row>
    <row r="370" ht="39" spans="2:16">
      <c r="B370" s="1">
        <v>369</v>
      </c>
      <c r="C370" s="24" t="s">
        <v>951</v>
      </c>
      <c r="D370" s="24" t="s">
        <v>485</v>
      </c>
      <c r="E370" s="25"/>
      <c r="F370" s="24" t="s">
        <v>949</v>
      </c>
      <c r="G370" s="46" t="s">
        <v>950</v>
      </c>
      <c r="H370" s="47" t="s">
        <v>952</v>
      </c>
      <c r="I370" s="47" t="s">
        <v>709</v>
      </c>
      <c r="J370" s="29">
        <v>43028</v>
      </c>
      <c r="K370" s="1"/>
      <c r="L370" s="27"/>
      <c r="M370" s="27"/>
      <c r="N370" s="1"/>
      <c r="O370" s="45">
        <v>43322</v>
      </c>
      <c r="P370" s="1"/>
    </row>
    <row r="371" ht="26" spans="2:16">
      <c r="B371" s="1">
        <v>370</v>
      </c>
      <c r="C371" s="24" t="s">
        <v>953</v>
      </c>
      <c r="D371" s="24" t="s">
        <v>546</v>
      </c>
      <c r="E371" s="25"/>
      <c r="F371" s="24" t="s">
        <v>954</v>
      </c>
      <c r="G371" s="24"/>
      <c r="H371" s="1"/>
      <c r="I371" s="1"/>
      <c r="J371" s="29">
        <v>42998</v>
      </c>
      <c r="K371" s="1">
        <v>23.8</v>
      </c>
      <c r="L371" s="27"/>
      <c r="M371" s="27"/>
      <c r="N371" s="1"/>
      <c r="O371" s="45">
        <v>43357</v>
      </c>
      <c r="P371" s="1"/>
    </row>
    <row r="372" ht="26" spans="2:16">
      <c r="B372" s="1">
        <v>371</v>
      </c>
      <c r="C372" s="24" t="s">
        <v>955</v>
      </c>
      <c r="D372" s="24" t="s">
        <v>546</v>
      </c>
      <c r="E372" s="25"/>
      <c r="F372" s="24" t="s">
        <v>954</v>
      </c>
      <c r="G372" s="24"/>
      <c r="H372" s="1"/>
      <c r="I372" s="1"/>
      <c r="J372" s="29">
        <v>43016</v>
      </c>
      <c r="K372" s="1">
        <v>84.58</v>
      </c>
      <c r="L372" s="27"/>
      <c r="M372" s="27"/>
      <c r="N372" s="1"/>
      <c r="O372" s="45">
        <v>43357</v>
      </c>
      <c r="P372" s="1"/>
    </row>
    <row r="373" ht="26" spans="2:16">
      <c r="B373" s="1">
        <v>372</v>
      </c>
      <c r="C373" s="24" t="s">
        <v>956</v>
      </c>
      <c r="D373" s="24" t="s">
        <v>517</v>
      </c>
      <c r="E373" s="25"/>
      <c r="F373" s="24" t="s">
        <v>931</v>
      </c>
      <c r="G373" s="46" t="s">
        <v>957</v>
      </c>
      <c r="H373" s="47" t="s">
        <v>725</v>
      </c>
      <c r="I373" s="47" t="s">
        <v>709</v>
      </c>
      <c r="J373" s="29">
        <v>43175</v>
      </c>
      <c r="K373" s="1"/>
      <c r="L373" s="27"/>
      <c r="M373" s="27"/>
      <c r="N373" s="1"/>
      <c r="O373" s="45">
        <v>43357</v>
      </c>
      <c r="P373" s="1"/>
    </row>
    <row r="374" ht="26" spans="2:16">
      <c r="B374" s="1">
        <v>373</v>
      </c>
      <c r="C374" s="24" t="s">
        <v>958</v>
      </c>
      <c r="D374" s="24" t="s">
        <v>517</v>
      </c>
      <c r="E374" s="25"/>
      <c r="F374" s="24" t="s">
        <v>931</v>
      </c>
      <c r="G374" s="46" t="s">
        <v>957</v>
      </c>
      <c r="H374" s="47" t="s">
        <v>725</v>
      </c>
      <c r="I374" s="47" t="s">
        <v>709</v>
      </c>
      <c r="J374" s="29">
        <v>43175</v>
      </c>
      <c r="K374" s="1"/>
      <c r="L374" s="27"/>
      <c r="M374" s="27"/>
      <c r="N374" s="1"/>
      <c r="O374" s="45">
        <v>43357</v>
      </c>
      <c r="P374" s="1"/>
    </row>
    <row r="375" ht="26" spans="2:16">
      <c r="B375" s="1">
        <v>374</v>
      </c>
      <c r="C375" s="24" t="s">
        <v>959</v>
      </c>
      <c r="D375" s="24" t="s">
        <v>517</v>
      </c>
      <c r="E375" s="25"/>
      <c r="F375" s="24" t="s">
        <v>931</v>
      </c>
      <c r="G375" s="46" t="s">
        <v>957</v>
      </c>
      <c r="H375" s="47" t="s">
        <v>725</v>
      </c>
      <c r="I375" s="47" t="s">
        <v>709</v>
      </c>
      <c r="J375" s="29">
        <v>43192</v>
      </c>
      <c r="K375" s="1"/>
      <c r="L375" s="27"/>
      <c r="M375" s="27"/>
      <c r="N375" s="1"/>
      <c r="O375" s="45">
        <v>43357</v>
      </c>
      <c r="P375" s="1"/>
    </row>
    <row r="376" ht="26" spans="2:16">
      <c r="B376" s="1">
        <v>375</v>
      </c>
      <c r="C376" s="24" t="s">
        <v>960</v>
      </c>
      <c r="D376" s="24" t="s">
        <v>517</v>
      </c>
      <c r="E376" s="25"/>
      <c r="F376" s="24" t="s">
        <v>931</v>
      </c>
      <c r="G376" s="46" t="s">
        <v>957</v>
      </c>
      <c r="H376" s="47" t="s">
        <v>725</v>
      </c>
      <c r="I376" s="47" t="s">
        <v>709</v>
      </c>
      <c r="J376" s="29">
        <v>43227</v>
      </c>
      <c r="K376" s="1"/>
      <c r="L376" s="27"/>
      <c r="M376" s="27"/>
      <c r="N376" s="1"/>
      <c r="O376" s="45">
        <v>43357</v>
      </c>
      <c r="P376" s="1"/>
    </row>
    <row r="377" ht="26" spans="2:16">
      <c r="B377" s="1">
        <v>376</v>
      </c>
      <c r="C377" s="24" t="s">
        <v>961</v>
      </c>
      <c r="D377" s="24" t="s">
        <v>517</v>
      </c>
      <c r="E377" s="25"/>
      <c r="F377" s="24" t="s">
        <v>456</v>
      </c>
      <c r="G377" s="46" t="s">
        <v>962</v>
      </c>
      <c r="H377" s="47" t="s">
        <v>725</v>
      </c>
      <c r="I377" s="47" t="s">
        <v>709</v>
      </c>
      <c r="J377" s="29">
        <v>43192</v>
      </c>
      <c r="K377" s="1"/>
      <c r="L377" s="27"/>
      <c r="M377" s="27"/>
      <c r="N377" s="1"/>
      <c r="O377" s="45">
        <v>43357</v>
      </c>
      <c r="P377" s="1"/>
    </row>
    <row r="378" ht="26" spans="2:16">
      <c r="B378" s="1">
        <v>377</v>
      </c>
      <c r="C378" s="24" t="s">
        <v>963</v>
      </c>
      <c r="D378" s="24" t="s">
        <v>517</v>
      </c>
      <c r="E378" s="25"/>
      <c r="F378" s="24" t="s">
        <v>401</v>
      </c>
      <c r="G378" s="46" t="s">
        <v>964</v>
      </c>
      <c r="H378" s="47" t="s">
        <v>725</v>
      </c>
      <c r="I378" s="47" t="s">
        <v>709</v>
      </c>
      <c r="J378" s="29">
        <v>43192</v>
      </c>
      <c r="K378" s="1"/>
      <c r="L378" s="27"/>
      <c r="M378" s="27"/>
      <c r="N378" s="1"/>
      <c r="O378" s="45">
        <v>43357</v>
      </c>
      <c r="P378" s="1"/>
    </row>
    <row r="379" ht="26" spans="2:16">
      <c r="B379" s="1">
        <v>378</v>
      </c>
      <c r="C379" s="24" t="s">
        <v>965</v>
      </c>
      <c r="D379" s="24" t="s">
        <v>517</v>
      </c>
      <c r="E379" s="25"/>
      <c r="F379" s="24" t="s">
        <v>931</v>
      </c>
      <c r="G379" s="46" t="s">
        <v>957</v>
      </c>
      <c r="H379" s="47" t="s">
        <v>725</v>
      </c>
      <c r="I379" s="47" t="s">
        <v>709</v>
      </c>
      <c r="J379" s="29">
        <v>43192</v>
      </c>
      <c r="K379" s="1"/>
      <c r="L379" s="27"/>
      <c r="M379" s="27"/>
      <c r="N379" s="1"/>
      <c r="O379" s="45">
        <v>43357</v>
      </c>
      <c r="P379" s="1"/>
    </row>
    <row r="380" ht="39" spans="2:16">
      <c r="B380" s="1">
        <v>379</v>
      </c>
      <c r="C380" s="24" t="s">
        <v>966</v>
      </c>
      <c r="D380" s="24" t="s">
        <v>517</v>
      </c>
      <c r="E380" s="25"/>
      <c r="F380" s="24" t="s">
        <v>931</v>
      </c>
      <c r="G380" s="46" t="s">
        <v>967</v>
      </c>
      <c r="H380" s="47" t="s">
        <v>725</v>
      </c>
      <c r="I380" s="47" t="s">
        <v>709</v>
      </c>
      <c r="J380" s="29">
        <v>43252</v>
      </c>
      <c r="K380" s="1"/>
      <c r="L380" s="27"/>
      <c r="M380" s="27"/>
      <c r="N380" s="1"/>
      <c r="O380" s="45">
        <v>43357</v>
      </c>
      <c r="P380" s="1"/>
    </row>
    <row r="381" ht="39" spans="2:16">
      <c r="B381" s="1">
        <v>380</v>
      </c>
      <c r="C381" s="24" t="s">
        <v>968</v>
      </c>
      <c r="D381" s="24" t="s">
        <v>517</v>
      </c>
      <c r="E381" s="25"/>
      <c r="F381" s="24" t="s">
        <v>931</v>
      </c>
      <c r="G381" s="46" t="s">
        <v>969</v>
      </c>
      <c r="H381" s="47" t="s">
        <v>725</v>
      </c>
      <c r="I381" s="47" t="s">
        <v>709</v>
      </c>
      <c r="J381" s="29">
        <v>43252</v>
      </c>
      <c r="K381" s="1"/>
      <c r="L381" s="27"/>
      <c r="M381" s="27"/>
      <c r="N381" s="1"/>
      <c r="O381" s="45">
        <v>43357</v>
      </c>
      <c r="P381" s="1"/>
    </row>
    <row r="382" ht="39" spans="2:16">
      <c r="B382" s="1">
        <v>381</v>
      </c>
      <c r="C382" s="24" t="s">
        <v>970</v>
      </c>
      <c r="D382" s="24" t="s">
        <v>517</v>
      </c>
      <c r="E382" s="25"/>
      <c r="F382" s="24" t="s">
        <v>704</v>
      </c>
      <c r="G382" s="46" t="s">
        <v>971</v>
      </c>
      <c r="H382" s="47" t="s">
        <v>725</v>
      </c>
      <c r="I382" s="47" t="s">
        <v>709</v>
      </c>
      <c r="J382" s="29">
        <v>43227</v>
      </c>
      <c r="K382" s="1"/>
      <c r="L382" s="27"/>
      <c r="M382" s="27"/>
      <c r="N382" s="1"/>
      <c r="O382" s="45">
        <v>43357</v>
      </c>
      <c r="P382" s="1"/>
    </row>
    <row r="383" ht="26" spans="2:16">
      <c r="B383" s="1">
        <v>382</v>
      </c>
      <c r="C383" s="24" t="s">
        <v>972</v>
      </c>
      <c r="D383" s="24" t="s">
        <v>517</v>
      </c>
      <c r="E383" s="25"/>
      <c r="F383" s="24" t="s">
        <v>973</v>
      </c>
      <c r="G383" s="46" t="s">
        <v>974</v>
      </c>
      <c r="H383" s="47" t="s">
        <v>725</v>
      </c>
      <c r="I383" s="47" t="s">
        <v>709</v>
      </c>
      <c r="J383" s="29">
        <v>43175</v>
      </c>
      <c r="K383" s="1"/>
      <c r="L383" s="27"/>
      <c r="M383" s="27"/>
      <c r="N383" s="1"/>
      <c r="O383" s="45">
        <v>43357</v>
      </c>
      <c r="P383" s="1"/>
    </row>
    <row r="384" ht="26" spans="2:16">
      <c r="B384" s="1">
        <v>383</v>
      </c>
      <c r="C384" s="24" t="s">
        <v>975</v>
      </c>
      <c r="D384" s="24" t="s">
        <v>674</v>
      </c>
      <c r="E384" s="14"/>
      <c r="F384" s="24" t="s">
        <v>361</v>
      </c>
      <c r="G384" s="24"/>
      <c r="H384" s="1"/>
      <c r="I384" s="1"/>
      <c r="J384" s="29"/>
      <c r="K384" s="1">
        <v>10.1314</v>
      </c>
      <c r="L384" s="27"/>
      <c r="M384" s="27"/>
      <c r="N384" s="1"/>
      <c r="O384" s="45">
        <v>43371</v>
      </c>
      <c r="P384" s="1"/>
    </row>
    <row r="385" ht="26" spans="2:16">
      <c r="B385" s="1">
        <v>384</v>
      </c>
      <c r="C385" s="24" t="s">
        <v>976</v>
      </c>
      <c r="D385" s="24" t="s">
        <v>674</v>
      </c>
      <c r="E385" s="14"/>
      <c r="F385" s="24" t="s">
        <v>361</v>
      </c>
      <c r="G385" s="24"/>
      <c r="H385" s="1"/>
      <c r="I385" s="1"/>
      <c r="J385" s="29"/>
      <c r="K385" s="1">
        <v>15.3758</v>
      </c>
      <c r="L385" s="27"/>
      <c r="M385" s="27"/>
      <c r="N385" s="1"/>
      <c r="O385" s="45">
        <v>43371</v>
      </c>
      <c r="P385" s="1"/>
    </row>
    <row r="386" ht="26" spans="2:16">
      <c r="B386" s="1">
        <v>385</v>
      </c>
      <c r="C386" s="24" t="s">
        <v>977</v>
      </c>
      <c r="D386" s="24" t="s">
        <v>674</v>
      </c>
      <c r="E386" s="14"/>
      <c r="F386" s="24" t="s">
        <v>361</v>
      </c>
      <c r="G386" s="24"/>
      <c r="H386" s="1"/>
      <c r="I386" s="1"/>
      <c r="J386" s="29"/>
      <c r="K386" s="1">
        <v>1.1022</v>
      </c>
      <c r="L386" s="27"/>
      <c r="M386" s="27"/>
      <c r="N386" s="1"/>
      <c r="O386" s="45">
        <v>43371</v>
      </c>
      <c r="P386" s="1"/>
    </row>
    <row r="387" ht="26" spans="2:16">
      <c r="B387" s="1">
        <v>386</v>
      </c>
      <c r="C387" s="24" t="s">
        <v>978</v>
      </c>
      <c r="D387" s="24" t="s">
        <v>674</v>
      </c>
      <c r="E387" s="14"/>
      <c r="F387" s="24" t="s">
        <v>361</v>
      </c>
      <c r="G387" s="24"/>
      <c r="H387" s="1"/>
      <c r="I387" s="1"/>
      <c r="J387" s="29"/>
      <c r="K387" s="1">
        <v>0.7911</v>
      </c>
      <c r="L387" s="27"/>
      <c r="M387" s="27"/>
      <c r="N387" s="1"/>
      <c r="O387" s="45">
        <v>43371</v>
      </c>
      <c r="P387" s="1"/>
    </row>
    <row r="388" spans="2:16">
      <c r="B388" s="1">
        <v>387</v>
      </c>
      <c r="C388" s="24" t="s">
        <v>979</v>
      </c>
      <c r="D388" s="24" t="s">
        <v>674</v>
      </c>
      <c r="E388" s="14"/>
      <c r="F388" s="24" t="s">
        <v>361</v>
      </c>
      <c r="G388" s="24"/>
      <c r="H388" s="1"/>
      <c r="I388" s="1"/>
      <c r="J388" s="29"/>
      <c r="K388" s="1">
        <v>78.6104</v>
      </c>
      <c r="L388" s="27"/>
      <c r="M388" s="27"/>
      <c r="N388" s="1"/>
      <c r="O388" s="45">
        <v>43371</v>
      </c>
      <c r="P388" s="1"/>
    </row>
    <row r="389" spans="2:16">
      <c r="B389" s="1">
        <v>388</v>
      </c>
      <c r="C389" s="24" t="s">
        <v>980</v>
      </c>
      <c r="D389" s="24" t="s">
        <v>674</v>
      </c>
      <c r="E389" s="14"/>
      <c r="F389" s="24" t="s">
        <v>361</v>
      </c>
      <c r="G389" s="24"/>
      <c r="H389" s="1"/>
      <c r="I389" s="1"/>
      <c r="J389" s="29"/>
      <c r="K389" s="1">
        <v>26.2191</v>
      </c>
      <c r="L389" s="27"/>
      <c r="M389" s="27"/>
      <c r="N389" s="1"/>
      <c r="O389" s="45">
        <v>43371</v>
      </c>
      <c r="P389" s="1"/>
    </row>
    <row r="390" ht="23.4" customHeight="1" spans="2:16">
      <c r="B390" s="1">
        <v>389</v>
      </c>
      <c r="C390" s="24" t="s">
        <v>981</v>
      </c>
      <c r="D390" s="24" t="s">
        <v>982</v>
      </c>
      <c r="E390" s="25"/>
      <c r="F390" s="24" t="s">
        <v>562</v>
      </c>
      <c r="G390" s="46" t="s">
        <v>983</v>
      </c>
      <c r="H390" s="47" t="s">
        <v>984</v>
      </c>
      <c r="I390" s="47" t="s">
        <v>709</v>
      </c>
      <c r="J390" s="29">
        <v>40427</v>
      </c>
      <c r="K390" s="1"/>
      <c r="L390" s="27"/>
      <c r="M390" s="27"/>
      <c r="N390" s="1"/>
      <c r="O390" s="45">
        <v>43390</v>
      </c>
      <c r="P390" s="1"/>
    </row>
    <row r="391" ht="39" spans="2:16">
      <c r="B391" s="1">
        <v>390</v>
      </c>
      <c r="C391" s="24" t="s">
        <v>985</v>
      </c>
      <c r="D391" s="24" t="s">
        <v>986</v>
      </c>
      <c r="E391" s="25"/>
      <c r="F391" s="24" t="s">
        <v>987</v>
      </c>
      <c r="G391" s="46" t="s">
        <v>988</v>
      </c>
      <c r="H391" s="47" t="s">
        <v>989</v>
      </c>
      <c r="I391" s="47" t="s">
        <v>709</v>
      </c>
      <c r="J391" s="29">
        <v>43230</v>
      </c>
      <c r="K391" s="1">
        <v>1.2546</v>
      </c>
      <c r="L391" s="27"/>
      <c r="M391" s="27"/>
      <c r="N391" s="1"/>
      <c r="O391" s="45">
        <v>43434</v>
      </c>
      <c r="P391" s="1"/>
    </row>
    <row r="392" ht="39" spans="2:16">
      <c r="B392" s="1">
        <v>391</v>
      </c>
      <c r="C392" s="24" t="s">
        <v>990</v>
      </c>
      <c r="D392" s="24" t="s">
        <v>991</v>
      </c>
      <c r="E392" s="25"/>
      <c r="F392" s="24" t="s">
        <v>987</v>
      </c>
      <c r="G392" s="46" t="s">
        <v>988</v>
      </c>
      <c r="H392" s="47" t="s">
        <v>989</v>
      </c>
      <c r="I392" s="47" t="s">
        <v>709</v>
      </c>
      <c r="J392" s="29">
        <v>43252</v>
      </c>
      <c r="K392" s="1">
        <v>1.2164</v>
      </c>
      <c r="L392" s="27"/>
      <c r="M392" s="27"/>
      <c r="N392" s="1"/>
      <c r="O392" s="45">
        <v>43434</v>
      </c>
      <c r="P392" s="1"/>
    </row>
    <row r="393" ht="26" spans="2:16">
      <c r="B393" s="1">
        <v>392</v>
      </c>
      <c r="C393" s="24" t="s">
        <v>992</v>
      </c>
      <c r="D393" s="24" t="s">
        <v>986</v>
      </c>
      <c r="E393" s="25"/>
      <c r="F393" s="24" t="s">
        <v>600</v>
      </c>
      <c r="G393" s="46" t="s">
        <v>993</v>
      </c>
      <c r="H393" s="47" t="s">
        <v>989</v>
      </c>
      <c r="I393" s="47" t="s">
        <v>709</v>
      </c>
      <c r="J393" s="29">
        <v>42901</v>
      </c>
      <c r="K393" s="1">
        <v>67.2349</v>
      </c>
      <c r="L393" s="27"/>
      <c r="M393" s="27"/>
      <c r="N393" s="1"/>
      <c r="O393" s="45">
        <v>43434</v>
      </c>
      <c r="P393" s="1"/>
    </row>
    <row r="394" ht="26" spans="2:16">
      <c r="B394" s="1">
        <v>393</v>
      </c>
      <c r="C394" s="24" t="s">
        <v>994</v>
      </c>
      <c r="D394" s="24" t="s">
        <v>995</v>
      </c>
      <c r="E394" s="25"/>
      <c r="F394" s="24"/>
      <c r="G394" s="46" t="s">
        <v>996</v>
      </c>
      <c r="H394" s="47" t="s">
        <v>997</v>
      </c>
      <c r="I394" s="47" t="s">
        <v>709</v>
      </c>
      <c r="J394" s="29">
        <v>43230</v>
      </c>
      <c r="K394" s="1"/>
      <c r="L394" s="27"/>
      <c r="M394" s="27"/>
      <c r="N394" s="1"/>
      <c r="O394" s="45">
        <v>43434</v>
      </c>
      <c r="P394" s="1"/>
    </row>
    <row r="395" ht="26" spans="2:16">
      <c r="B395" s="1">
        <v>394</v>
      </c>
      <c r="C395" s="24" t="s">
        <v>998</v>
      </c>
      <c r="D395" s="24" t="s">
        <v>620</v>
      </c>
      <c r="E395" s="25"/>
      <c r="F395" s="24" t="s">
        <v>999</v>
      </c>
      <c r="G395" s="46" t="s">
        <v>1000</v>
      </c>
      <c r="H395" s="47" t="s">
        <v>1001</v>
      </c>
      <c r="I395" s="47" t="s">
        <v>709</v>
      </c>
      <c r="J395" s="29">
        <v>43132</v>
      </c>
      <c r="K395" s="1"/>
      <c r="L395" s="27"/>
      <c r="M395" s="27"/>
      <c r="N395" s="1"/>
      <c r="O395" s="45">
        <v>43434</v>
      </c>
      <c r="P395" s="1"/>
    </row>
    <row r="396" ht="26" spans="2:16">
      <c r="B396" s="1">
        <v>395</v>
      </c>
      <c r="C396" s="24" t="s">
        <v>1002</v>
      </c>
      <c r="D396" s="24" t="s">
        <v>620</v>
      </c>
      <c r="E396" s="25"/>
      <c r="F396" s="24" t="s">
        <v>999</v>
      </c>
      <c r="G396" s="46" t="s">
        <v>1003</v>
      </c>
      <c r="H396" s="47" t="s">
        <v>1001</v>
      </c>
      <c r="I396" s="47" t="s">
        <v>709</v>
      </c>
      <c r="J396" s="29">
        <v>43283</v>
      </c>
      <c r="K396" s="1"/>
      <c r="L396" s="27"/>
      <c r="M396" s="27"/>
      <c r="N396" s="1"/>
      <c r="O396" s="45">
        <v>43434</v>
      </c>
      <c r="P396" s="1"/>
    </row>
    <row r="397" ht="39" spans="2:16">
      <c r="B397" s="1">
        <v>396</v>
      </c>
      <c r="C397" s="24" t="s">
        <v>1004</v>
      </c>
      <c r="D397" s="24" t="s">
        <v>620</v>
      </c>
      <c r="E397" s="25"/>
      <c r="F397" s="24" t="s">
        <v>1005</v>
      </c>
      <c r="G397" s="46" t="s">
        <v>1006</v>
      </c>
      <c r="H397" s="47" t="s">
        <v>1001</v>
      </c>
      <c r="I397" s="47" t="s">
        <v>709</v>
      </c>
      <c r="J397" s="29">
        <v>43327</v>
      </c>
      <c r="K397" s="1"/>
      <c r="L397" s="27"/>
      <c r="M397" s="27"/>
      <c r="N397" s="1"/>
      <c r="O397" s="45">
        <v>43434</v>
      </c>
      <c r="P397" s="1"/>
    </row>
    <row r="398" ht="26" spans="2:16">
      <c r="B398" s="1">
        <v>397</v>
      </c>
      <c r="C398" s="24" t="s">
        <v>1007</v>
      </c>
      <c r="D398" s="24" t="s">
        <v>620</v>
      </c>
      <c r="E398" s="25"/>
      <c r="F398" s="24" t="s">
        <v>999</v>
      </c>
      <c r="G398" s="46" t="s">
        <v>1008</v>
      </c>
      <c r="H398" s="47" t="s">
        <v>1001</v>
      </c>
      <c r="I398" s="47" t="s">
        <v>709</v>
      </c>
      <c r="J398" s="29">
        <v>43179</v>
      </c>
      <c r="K398" s="1"/>
      <c r="L398" s="27"/>
      <c r="M398" s="27"/>
      <c r="N398" s="1"/>
      <c r="O398" s="45">
        <v>43434</v>
      </c>
      <c r="P398" s="1"/>
    </row>
    <row r="399" spans="2:16">
      <c r="B399" s="1">
        <v>398</v>
      </c>
      <c r="C399" s="24" t="s">
        <v>1009</v>
      </c>
      <c r="D399" s="24" t="s">
        <v>674</v>
      </c>
      <c r="E399" s="25"/>
      <c r="F399" s="24" t="s">
        <v>361</v>
      </c>
      <c r="G399" s="24"/>
      <c r="H399" s="1"/>
      <c r="I399" s="1"/>
      <c r="J399" s="29" t="s">
        <v>1010</v>
      </c>
      <c r="K399" s="1">
        <v>2.7427</v>
      </c>
      <c r="L399" s="27"/>
      <c r="M399" s="27"/>
      <c r="N399" s="1"/>
      <c r="O399" s="45">
        <v>43458</v>
      </c>
      <c r="P399" s="1"/>
    </row>
    <row r="400" ht="26" spans="2:16">
      <c r="B400" s="1">
        <v>399</v>
      </c>
      <c r="C400" s="24" t="s">
        <v>1011</v>
      </c>
      <c r="D400" s="24" t="s">
        <v>674</v>
      </c>
      <c r="E400" s="25"/>
      <c r="F400" s="24" t="s">
        <v>361</v>
      </c>
      <c r="G400" s="24"/>
      <c r="H400" s="1"/>
      <c r="I400" s="1"/>
      <c r="J400" s="29" t="s">
        <v>1010</v>
      </c>
      <c r="K400" s="1">
        <v>17.0174</v>
      </c>
      <c r="L400" s="27"/>
      <c r="M400" s="27"/>
      <c r="N400" s="1"/>
      <c r="O400" s="45">
        <v>43458</v>
      </c>
      <c r="P400" s="1"/>
    </row>
    <row r="401" ht="39" spans="2:16">
      <c r="B401" s="1">
        <v>400</v>
      </c>
      <c r="C401" s="24" t="s">
        <v>1012</v>
      </c>
      <c r="D401" s="24" t="s">
        <v>674</v>
      </c>
      <c r="E401" s="25"/>
      <c r="F401" s="24" t="s">
        <v>361</v>
      </c>
      <c r="G401" s="24"/>
      <c r="H401" s="1"/>
      <c r="I401" s="1"/>
      <c r="J401" s="29" t="s">
        <v>1010</v>
      </c>
      <c r="K401" s="1">
        <v>1.0015</v>
      </c>
      <c r="L401" s="27"/>
      <c r="M401" s="27"/>
      <c r="N401" s="1"/>
      <c r="O401" s="45">
        <v>43458</v>
      </c>
      <c r="P401" s="1"/>
    </row>
    <row r="402" ht="26" spans="2:16">
      <c r="B402" s="1">
        <v>401</v>
      </c>
      <c r="C402" s="24" t="s">
        <v>1013</v>
      </c>
      <c r="D402" s="24" t="s">
        <v>674</v>
      </c>
      <c r="E402" s="25"/>
      <c r="F402" s="24" t="s">
        <v>361</v>
      </c>
      <c r="G402" s="24"/>
      <c r="H402" s="1"/>
      <c r="I402" s="1"/>
      <c r="J402" s="29" t="s">
        <v>1010</v>
      </c>
      <c r="K402" s="1">
        <v>1.3843</v>
      </c>
      <c r="L402" s="27"/>
      <c r="M402" s="27"/>
      <c r="N402" s="1"/>
      <c r="O402" s="45">
        <v>43458</v>
      </c>
      <c r="P402" s="1"/>
    </row>
    <row r="403" ht="26" spans="2:16">
      <c r="B403" s="1">
        <v>402</v>
      </c>
      <c r="C403" s="24" t="s">
        <v>1014</v>
      </c>
      <c r="D403" s="24" t="s">
        <v>674</v>
      </c>
      <c r="E403" s="25"/>
      <c r="F403" s="24" t="s">
        <v>361</v>
      </c>
      <c r="G403" s="24"/>
      <c r="H403" s="1"/>
      <c r="I403" s="1"/>
      <c r="J403" s="29" t="s">
        <v>1010</v>
      </c>
      <c r="K403" s="1">
        <v>0.9724</v>
      </c>
      <c r="L403" s="27"/>
      <c r="M403" s="27"/>
      <c r="N403" s="1"/>
      <c r="O403" s="45">
        <v>43458</v>
      </c>
      <c r="P403" s="1"/>
    </row>
    <row r="404" ht="26" spans="2:16">
      <c r="B404" s="1">
        <v>403</v>
      </c>
      <c r="C404" s="24" t="s">
        <v>1015</v>
      </c>
      <c r="D404" s="24" t="s">
        <v>517</v>
      </c>
      <c r="E404" s="25"/>
      <c r="F404" s="24"/>
      <c r="G404" s="46" t="s">
        <v>1016</v>
      </c>
      <c r="H404" s="47" t="s">
        <v>725</v>
      </c>
      <c r="I404" s="47" t="s">
        <v>709</v>
      </c>
      <c r="J404" s="29">
        <v>43346</v>
      </c>
      <c r="K404" s="1"/>
      <c r="L404" s="27"/>
      <c r="M404" s="27"/>
      <c r="N404" s="1"/>
      <c r="O404" s="45">
        <v>43458</v>
      </c>
      <c r="P404" s="1"/>
    </row>
    <row r="405" ht="26" spans="2:16">
      <c r="B405" s="1">
        <v>404</v>
      </c>
      <c r="C405" s="24" t="s">
        <v>1017</v>
      </c>
      <c r="D405" s="24" t="s">
        <v>517</v>
      </c>
      <c r="E405" s="25"/>
      <c r="F405" s="24"/>
      <c r="G405" s="46" t="s">
        <v>891</v>
      </c>
      <c r="H405" s="47" t="s">
        <v>725</v>
      </c>
      <c r="I405" s="47" t="s">
        <v>709</v>
      </c>
      <c r="J405" s="29">
        <v>43346</v>
      </c>
      <c r="K405" s="1"/>
      <c r="L405" s="27"/>
      <c r="M405" s="27"/>
      <c r="N405" s="1"/>
      <c r="O405" s="45">
        <v>43458</v>
      </c>
      <c r="P405" s="1"/>
    </row>
    <row r="406" ht="26" spans="2:16">
      <c r="B406" s="1">
        <v>405</v>
      </c>
      <c r="C406" s="24" t="s">
        <v>1018</v>
      </c>
      <c r="D406" s="24" t="s">
        <v>517</v>
      </c>
      <c r="E406" s="25"/>
      <c r="F406" s="24"/>
      <c r="G406" s="46" t="s">
        <v>1019</v>
      </c>
      <c r="H406" s="47" t="s">
        <v>725</v>
      </c>
      <c r="I406" s="47" t="s">
        <v>709</v>
      </c>
      <c r="J406" s="29">
        <v>43318</v>
      </c>
      <c r="K406" s="1"/>
      <c r="L406" s="27"/>
      <c r="M406" s="27"/>
      <c r="N406" s="1"/>
      <c r="O406" s="45">
        <v>43458</v>
      </c>
      <c r="P406" s="1"/>
    </row>
    <row r="407" ht="26" spans="2:16">
      <c r="B407" s="1">
        <v>406</v>
      </c>
      <c r="C407" s="24" t="s">
        <v>1020</v>
      </c>
      <c r="D407" s="24" t="s">
        <v>517</v>
      </c>
      <c r="E407" s="25"/>
      <c r="F407" s="24"/>
      <c r="G407" s="46" t="s">
        <v>1021</v>
      </c>
      <c r="H407" s="47" t="s">
        <v>725</v>
      </c>
      <c r="I407" s="47" t="s">
        <v>709</v>
      </c>
      <c r="J407" s="29">
        <v>43318</v>
      </c>
      <c r="K407" s="1"/>
      <c r="L407" s="27"/>
      <c r="M407" s="27"/>
      <c r="N407" s="1"/>
      <c r="O407" s="45">
        <v>43458</v>
      </c>
      <c r="P407" s="1"/>
    </row>
    <row r="408" ht="26" spans="2:16">
      <c r="B408" s="1">
        <v>407</v>
      </c>
      <c r="C408" s="24" t="s">
        <v>1022</v>
      </c>
      <c r="D408" s="24" t="s">
        <v>1023</v>
      </c>
      <c r="E408" s="25"/>
      <c r="F408" s="24" t="s">
        <v>367</v>
      </c>
      <c r="G408" s="46" t="s">
        <v>1024</v>
      </c>
      <c r="H408" s="47" t="s">
        <v>725</v>
      </c>
      <c r="I408" s="47" t="s">
        <v>709</v>
      </c>
      <c r="J408" s="29">
        <v>43368</v>
      </c>
      <c r="K408" s="1"/>
      <c r="L408" s="27"/>
      <c r="M408" s="27"/>
      <c r="N408" s="1"/>
      <c r="O408" s="45">
        <v>43458</v>
      </c>
      <c r="P408" s="1"/>
    </row>
    <row r="409" ht="39" spans="2:16">
      <c r="B409" s="1">
        <v>408</v>
      </c>
      <c r="C409" s="24" t="s">
        <v>1025</v>
      </c>
      <c r="D409" s="24" t="s">
        <v>788</v>
      </c>
      <c r="E409" s="25"/>
      <c r="F409" s="24"/>
      <c r="G409" s="46" t="s">
        <v>1026</v>
      </c>
      <c r="H409" s="47" t="s">
        <v>1027</v>
      </c>
      <c r="I409" s="47" t="s">
        <v>709</v>
      </c>
      <c r="J409" s="29">
        <v>43346</v>
      </c>
      <c r="K409" s="1"/>
      <c r="L409" s="27"/>
      <c r="M409" s="27"/>
      <c r="N409" s="1"/>
      <c r="O409" s="45">
        <v>43458</v>
      </c>
      <c r="P409" s="1"/>
    </row>
    <row r="410" ht="26" spans="2:16">
      <c r="B410" s="1">
        <v>409</v>
      </c>
      <c r="C410" s="24" t="s">
        <v>1028</v>
      </c>
      <c r="D410" s="24" t="s">
        <v>1029</v>
      </c>
      <c r="E410" s="25"/>
      <c r="F410" s="24" t="s">
        <v>361</v>
      </c>
      <c r="G410" s="46" t="s">
        <v>1030</v>
      </c>
      <c r="H410" s="47" t="s">
        <v>1031</v>
      </c>
      <c r="I410" s="47" t="s">
        <v>709</v>
      </c>
      <c r="J410" s="29">
        <v>43388</v>
      </c>
      <c r="K410" s="1">
        <v>25</v>
      </c>
      <c r="L410" s="27"/>
      <c r="M410" s="27"/>
      <c r="N410" s="1"/>
      <c r="O410" s="45">
        <v>43458</v>
      </c>
      <c r="P410" s="1"/>
    </row>
    <row r="411" ht="45" spans="2:16">
      <c r="B411" s="1">
        <v>410</v>
      </c>
      <c r="C411" s="48" t="s">
        <v>1032</v>
      </c>
      <c r="D411" s="48" t="s">
        <v>1033</v>
      </c>
      <c r="E411" s="49"/>
      <c r="F411" s="24" t="s">
        <v>361</v>
      </c>
      <c r="G411" s="24"/>
      <c r="H411" s="1"/>
      <c r="I411" s="1"/>
      <c r="J411" s="50">
        <v>43252</v>
      </c>
      <c r="K411" s="51">
        <v>37.3031</v>
      </c>
      <c r="L411" s="27"/>
      <c r="M411" s="27"/>
      <c r="N411" s="1"/>
      <c r="O411" s="50">
        <v>43473</v>
      </c>
      <c r="P411" s="1"/>
    </row>
    <row r="412" ht="30" spans="2:16">
      <c r="B412" s="1">
        <v>411</v>
      </c>
      <c r="C412" s="48" t="s">
        <v>1034</v>
      </c>
      <c r="D412" s="48" t="s">
        <v>546</v>
      </c>
      <c r="E412" s="49"/>
      <c r="F412" s="24" t="s">
        <v>361</v>
      </c>
      <c r="G412" s="24"/>
      <c r="H412" s="1"/>
      <c r="I412" s="1"/>
      <c r="J412" s="50">
        <v>42767</v>
      </c>
      <c r="K412" s="51">
        <v>11.7497</v>
      </c>
      <c r="L412" s="27"/>
      <c r="M412" s="27"/>
      <c r="N412" s="1"/>
      <c r="O412" s="50">
        <v>43473</v>
      </c>
      <c r="P412" s="1"/>
    </row>
    <row r="413" ht="30" spans="2:16">
      <c r="B413" s="1">
        <v>412</v>
      </c>
      <c r="C413" s="48" t="s">
        <v>1035</v>
      </c>
      <c r="D413" s="48" t="s">
        <v>546</v>
      </c>
      <c r="E413" s="49"/>
      <c r="F413" s="24" t="s">
        <v>361</v>
      </c>
      <c r="G413" s="24"/>
      <c r="H413" s="1"/>
      <c r="I413" s="1"/>
      <c r="J413" s="50">
        <v>42767</v>
      </c>
      <c r="K413" s="51">
        <v>7.2911</v>
      </c>
      <c r="L413" s="27"/>
      <c r="M413" s="27"/>
      <c r="N413" s="1"/>
      <c r="O413" s="50">
        <v>43473</v>
      </c>
      <c r="P413" s="1"/>
    </row>
    <row r="414" ht="30" spans="2:16">
      <c r="B414" s="1">
        <v>413</v>
      </c>
      <c r="C414" s="48" t="s">
        <v>1036</v>
      </c>
      <c r="D414" s="48" t="s">
        <v>546</v>
      </c>
      <c r="E414" s="49"/>
      <c r="F414" s="24" t="s">
        <v>361</v>
      </c>
      <c r="G414" s="24"/>
      <c r="H414" s="1"/>
      <c r="I414" s="1"/>
      <c r="J414" s="50">
        <v>42767</v>
      </c>
      <c r="K414" s="51">
        <v>12.3081</v>
      </c>
      <c r="L414" s="27"/>
      <c r="M414" s="27"/>
      <c r="N414" s="1"/>
      <c r="O414" s="50">
        <v>43473</v>
      </c>
      <c r="P414" s="1"/>
    </row>
    <row r="415" ht="30" spans="2:16">
      <c r="B415" s="1">
        <v>414</v>
      </c>
      <c r="C415" s="48" t="s">
        <v>1037</v>
      </c>
      <c r="D415" s="48" t="s">
        <v>1033</v>
      </c>
      <c r="E415" s="49"/>
      <c r="F415" s="24" t="s">
        <v>361</v>
      </c>
      <c r="G415" s="24"/>
      <c r="H415" s="1"/>
      <c r="I415" s="1"/>
      <c r="J415" s="50">
        <v>43191</v>
      </c>
      <c r="K415" s="51">
        <v>6.7534</v>
      </c>
      <c r="L415" s="27"/>
      <c r="M415" s="27"/>
      <c r="N415" s="1"/>
      <c r="O415" s="50">
        <v>43473</v>
      </c>
      <c r="P415" s="1"/>
    </row>
    <row r="416" ht="30" spans="2:16">
      <c r="B416" s="1">
        <v>415</v>
      </c>
      <c r="C416" s="48" t="s">
        <v>1038</v>
      </c>
      <c r="D416" s="48" t="s">
        <v>546</v>
      </c>
      <c r="E416" s="49"/>
      <c r="F416" s="24" t="s">
        <v>361</v>
      </c>
      <c r="G416" s="24"/>
      <c r="H416" s="1"/>
      <c r="I416" s="1"/>
      <c r="J416" s="50">
        <v>42917</v>
      </c>
      <c r="K416" s="51">
        <v>5.6386</v>
      </c>
      <c r="L416" s="27"/>
      <c r="M416" s="27"/>
      <c r="N416" s="1"/>
      <c r="O416" s="50">
        <v>43473</v>
      </c>
      <c r="P416" s="1"/>
    </row>
    <row r="417" ht="30" spans="2:16">
      <c r="B417" s="1">
        <v>416</v>
      </c>
      <c r="C417" s="48" t="s">
        <v>1039</v>
      </c>
      <c r="D417" s="48" t="s">
        <v>546</v>
      </c>
      <c r="E417" s="49"/>
      <c r="F417" s="24" t="s">
        <v>361</v>
      </c>
      <c r="G417" s="24"/>
      <c r="H417" s="1"/>
      <c r="I417" s="1"/>
      <c r="J417" s="50">
        <v>42931</v>
      </c>
      <c r="K417" s="51">
        <v>1.3949</v>
      </c>
      <c r="L417" s="27"/>
      <c r="M417" s="27"/>
      <c r="N417" s="1"/>
      <c r="O417" s="50">
        <v>43473</v>
      </c>
      <c r="P417" s="1"/>
    </row>
    <row r="418" ht="30" spans="2:16">
      <c r="B418" s="1">
        <v>417</v>
      </c>
      <c r="C418" s="48" t="s">
        <v>1040</v>
      </c>
      <c r="D418" s="48" t="s">
        <v>546</v>
      </c>
      <c r="E418" s="49"/>
      <c r="F418" s="24" t="s">
        <v>361</v>
      </c>
      <c r="G418" s="24"/>
      <c r="H418" s="1"/>
      <c r="I418" s="1"/>
      <c r="J418" s="50">
        <v>43040</v>
      </c>
      <c r="K418" s="51">
        <v>9.784</v>
      </c>
      <c r="L418" s="27"/>
      <c r="M418" s="27"/>
      <c r="N418" s="1"/>
      <c r="O418" s="50">
        <v>43473</v>
      </c>
      <c r="P418" s="1"/>
    </row>
    <row r="419" ht="30" spans="2:16">
      <c r="B419" s="1">
        <v>418</v>
      </c>
      <c r="C419" s="48" t="s">
        <v>1041</v>
      </c>
      <c r="D419" s="48" t="s">
        <v>546</v>
      </c>
      <c r="E419" s="49"/>
      <c r="F419" s="24" t="s">
        <v>361</v>
      </c>
      <c r="G419" s="24"/>
      <c r="H419" s="1"/>
      <c r="I419" s="1"/>
      <c r="J419" s="50">
        <v>43023</v>
      </c>
      <c r="K419" s="51">
        <v>4.158</v>
      </c>
      <c r="L419" s="27"/>
      <c r="M419" s="27"/>
      <c r="N419" s="1"/>
      <c r="O419" s="50">
        <v>43473</v>
      </c>
      <c r="P419" s="1"/>
    </row>
    <row r="420" ht="30" customHeight="1" spans="2:16">
      <c r="B420" s="1">
        <v>419</v>
      </c>
      <c r="C420" s="24" t="s">
        <v>1042</v>
      </c>
      <c r="D420" s="24" t="s">
        <v>485</v>
      </c>
      <c r="E420" s="25"/>
      <c r="F420" s="24" t="s">
        <v>808</v>
      </c>
      <c r="G420" s="46" t="s">
        <v>1043</v>
      </c>
      <c r="H420" s="47" t="s">
        <v>952</v>
      </c>
      <c r="I420" s="47" t="s">
        <v>709</v>
      </c>
      <c r="J420" s="29">
        <v>43018</v>
      </c>
      <c r="K420" s="1"/>
      <c r="L420" s="27"/>
      <c r="M420" s="27"/>
      <c r="N420" s="1"/>
      <c r="O420" s="50">
        <v>43473</v>
      </c>
      <c r="P420" s="1"/>
    </row>
    <row r="421" ht="30" spans="2:16">
      <c r="B421" s="1">
        <v>420</v>
      </c>
      <c r="C421" s="48" t="s">
        <v>1044</v>
      </c>
      <c r="D421" s="48" t="s">
        <v>546</v>
      </c>
      <c r="E421" s="49"/>
      <c r="F421" s="24" t="s">
        <v>361</v>
      </c>
      <c r="G421" s="24"/>
      <c r="H421" s="1"/>
      <c r="I421" s="1"/>
      <c r="J421" s="50">
        <v>43191</v>
      </c>
      <c r="K421" s="51">
        <v>10.1448</v>
      </c>
      <c r="L421" s="27"/>
      <c r="M421" s="27"/>
      <c r="N421" s="1"/>
      <c r="O421" s="50">
        <v>43480</v>
      </c>
      <c r="P421" s="1"/>
    </row>
    <row r="422" ht="30" spans="2:16">
      <c r="B422" s="1">
        <v>421</v>
      </c>
      <c r="C422" s="48" t="s">
        <v>1045</v>
      </c>
      <c r="D422" s="48" t="s">
        <v>546</v>
      </c>
      <c r="E422" s="49"/>
      <c r="F422" s="24" t="s">
        <v>361</v>
      </c>
      <c r="G422" s="24"/>
      <c r="H422" s="1"/>
      <c r="I422" s="1"/>
      <c r="J422" s="50">
        <v>42917</v>
      </c>
      <c r="K422" s="51">
        <v>11.7068</v>
      </c>
      <c r="L422" s="27"/>
      <c r="M422" s="27"/>
      <c r="N422" s="1"/>
      <c r="O422" s="50">
        <v>43480</v>
      </c>
      <c r="P422" s="1"/>
    </row>
    <row r="423" ht="30" spans="2:16">
      <c r="B423" s="1">
        <v>422</v>
      </c>
      <c r="C423" s="48" t="s">
        <v>1046</v>
      </c>
      <c r="D423" s="48" t="s">
        <v>546</v>
      </c>
      <c r="E423" s="49"/>
      <c r="F423" s="24" t="s">
        <v>361</v>
      </c>
      <c r="G423" s="24"/>
      <c r="H423" s="1"/>
      <c r="I423" s="1"/>
      <c r="J423" s="50">
        <v>42583</v>
      </c>
      <c r="K423" s="51">
        <v>5.898</v>
      </c>
      <c r="L423" s="27"/>
      <c r="M423" s="27"/>
      <c r="N423" s="1"/>
      <c r="O423" s="50">
        <v>43480</v>
      </c>
      <c r="P423" s="1"/>
    </row>
    <row r="424" ht="30" spans="2:16">
      <c r="B424" s="1">
        <v>423</v>
      </c>
      <c r="C424" s="48" t="s">
        <v>1047</v>
      </c>
      <c r="D424" s="48" t="s">
        <v>1033</v>
      </c>
      <c r="E424" s="49"/>
      <c r="F424" s="24" t="s">
        <v>361</v>
      </c>
      <c r="G424" s="24"/>
      <c r="H424" s="1"/>
      <c r="I424" s="1"/>
      <c r="J424" s="50">
        <v>43252</v>
      </c>
      <c r="K424" s="51">
        <v>3.2198</v>
      </c>
      <c r="L424" s="27"/>
      <c r="M424" s="27"/>
      <c r="N424" s="1"/>
      <c r="O424" s="50">
        <v>43480</v>
      </c>
      <c r="P424" s="1"/>
    </row>
    <row r="425" ht="30" spans="2:16">
      <c r="B425" s="1">
        <v>424</v>
      </c>
      <c r="C425" s="48" t="s">
        <v>1048</v>
      </c>
      <c r="D425" s="48" t="s">
        <v>546</v>
      </c>
      <c r="E425" s="49"/>
      <c r="F425" s="24" t="s">
        <v>361</v>
      </c>
      <c r="G425" s="24"/>
      <c r="H425" s="1"/>
      <c r="I425" s="1"/>
      <c r="J425" s="50">
        <v>42921</v>
      </c>
      <c r="K425" s="51">
        <v>50</v>
      </c>
      <c r="L425" s="27"/>
      <c r="M425" s="27"/>
      <c r="N425" s="1"/>
      <c r="O425" s="50">
        <v>43480</v>
      </c>
      <c r="P425" s="1"/>
    </row>
    <row r="426" ht="30" spans="2:16">
      <c r="B426" s="1">
        <v>425</v>
      </c>
      <c r="C426" s="48" t="s">
        <v>1049</v>
      </c>
      <c r="D426" s="48" t="s">
        <v>546</v>
      </c>
      <c r="E426" s="49"/>
      <c r="F426" s="24" t="s">
        <v>361</v>
      </c>
      <c r="G426" s="24"/>
      <c r="H426" s="1"/>
      <c r="I426" s="1"/>
      <c r="J426" s="50">
        <v>43174</v>
      </c>
      <c r="K426" s="51">
        <v>20</v>
      </c>
      <c r="L426" s="27"/>
      <c r="M426" s="27"/>
      <c r="N426" s="1"/>
      <c r="O426" s="50">
        <v>43480</v>
      </c>
      <c r="P426" s="1"/>
    </row>
    <row r="427" ht="30" spans="2:16">
      <c r="B427" s="1">
        <v>426</v>
      </c>
      <c r="C427" s="48" t="s">
        <v>1050</v>
      </c>
      <c r="D427" s="48" t="s">
        <v>546</v>
      </c>
      <c r="E427" s="49"/>
      <c r="F427" s="24" t="s">
        <v>361</v>
      </c>
      <c r="G427" s="24"/>
      <c r="H427" s="1"/>
      <c r="I427" s="1"/>
      <c r="J427" s="50">
        <v>43132</v>
      </c>
      <c r="K427" s="51">
        <v>13.6683</v>
      </c>
      <c r="L427" s="27"/>
      <c r="M427" s="27"/>
      <c r="N427" s="1"/>
      <c r="O427" s="50">
        <v>43480</v>
      </c>
      <c r="P427" s="1"/>
    </row>
    <row r="428" ht="30" spans="2:16">
      <c r="B428" s="1">
        <v>427</v>
      </c>
      <c r="C428" s="48" t="s">
        <v>1051</v>
      </c>
      <c r="D428" s="48" t="s">
        <v>546</v>
      </c>
      <c r="E428" s="49"/>
      <c r="F428" s="24" t="s">
        <v>361</v>
      </c>
      <c r="G428" s="24"/>
      <c r="H428" s="1"/>
      <c r="I428" s="1"/>
      <c r="J428" s="50">
        <v>43222</v>
      </c>
      <c r="K428" s="51">
        <v>8.3977</v>
      </c>
      <c r="L428" s="27"/>
      <c r="M428" s="27"/>
      <c r="N428" s="1"/>
      <c r="O428" s="50">
        <v>43480</v>
      </c>
      <c r="P428" s="1"/>
    </row>
    <row r="429" ht="30" spans="2:16">
      <c r="B429" s="1">
        <v>428</v>
      </c>
      <c r="C429" s="48" t="s">
        <v>1052</v>
      </c>
      <c r="D429" s="48" t="s">
        <v>1033</v>
      </c>
      <c r="E429" s="49"/>
      <c r="F429" s="24" t="s">
        <v>361</v>
      </c>
      <c r="G429" s="24"/>
      <c r="H429" s="1"/>
      <c r="I429" s="1"/>
      <c r="J429" s="50">
        <v>43409</v>
      </c>
      <c r="K429" s="51">
        <v>17.5</v>
      </c>
      <c r="L429" s="27"/>
      <c r="M429" s="27"/>
      <c r="N429" s="1"/>
      <c r="O429" s="50">
        <v>43480</v>
      </c>
      <c r="P429" s="1"/>
    </row>
    <row r="430" ht="30" spans="2:16">
      <c r="B430" s="1">
        <v>429</v>
      </c>
      <c r="C430" s="48" t="s">
        <v>1053</v>
      </c>
      <c r="D430" s="48" t="s">
        <v>546</v>
      </c>
      <c r="E430" s="49"/>
      <c r="F430" s="24" t="s">
        <v>361</v>
      </c>
      <c r="G430" s="24"/>
      <c r="H430" s="1"/>
      <c r="I430" s="1"/>
      <c r="J430" s="50">
        <v>43079</v>
      </c>
      <c r="K430" s="51">
        <v>26.3</v>
      </c>
      <c r="L430" s="27"/>
      <c r="M430" s="27"/>
      <c r="N430" s="1"/>
      <c r="O430" s="50">
        <v>43480</v>
      </c>
      <c r="P430" s="1"/>
    </row>
    <row r="431" ht="30" spans="2:16">
      <c r="B431" s="1">
        <v>430</v>
      </c>
      <c r="C431" s="48" t="s">
        <v>1054</v>
      </c>
      <c r="D431" s="48" t="s">
        <v>546</v>
      </c>
      <c r="E431" s="49"/>
      <c r="F431" s="24" t="s">
        <v>361</v>
      </c>
      <c r="G431" s="24"/>
      <c r="H431" s="1"/>
      <c r="I431" s="1"/>
      <c r="J431" s="50">
        <v>43040</v>
      </c>
      <c r="K431" s="51">
        <v>26.3</v>
      </c>
      <c r="L431" s="27"/>
      <c r="M431" s="27"/>
      <c r="N431" s="1"/>
      <c r="O431" s="50">
        <v>43480</v>
      </c>
      <c r="P431" s="1"/>
    </row>
    <row r="432" ht="30" spans="2:16">
      <c r="B432" s="1">
        <v>431</v>
      </c>
      <c r="C432" s="48" t="s">
        <v>1055</v>
      </c>
      <c r="D432" s="48" t="s">
        <v>546</v>
      </c>
      <c r="E432" s="49"/>
      <c r="F432" s="24" t="s">
        <v>361</v>
      </c>
      <c r="G432" s="24"/>
      <c r="H432" s="1"/>
      <c r="I432" s="1"/>
      <c r="J432" s="50">
        <v>42856</v>
      </c>
      <c r="K432" s="51">
        <v>5.9443</v>
      </c>
      <c r="L432" s="27"/>
      <c r="M432" s="27"/>
      <c r="N432" s="1"/>
      <c r="O432" s="50">
        <v>43480</v>
      </c>
      <c r="P432" s="1"/>
    </row>
    <row r="433" ht="45" spans="2:16">
      <c r="B433" s="1">
        <v>432</v>
      </c>
      <c r="C433" s="48" t="s">
        <v>1056</v>
      </c>
      <c r="D433" s="48" t="s">
        <v>1033</v>
      </c>
      <c r="E433" s="49"/>
      <c r="F433" s="24" t="s">
        <v>361</v>
      </c>
      <c r="G433" s="24"/>
      <c r="H433" s="1"/>
      <c r="I433" s="1"/>
      <c r="J433" s="50">
        <v>43313</v>
      </c>
      <c r="K433" s="51">
        <v>8.144</v>
      </c>
      <c r="L433" s="27"/>
      <c r="M433" s="27"/>
      <c r="N433" s="1"/>
      <c r="O433" s="50">
        <v>43480</v>
      </c>
      <c r="P433" s="1"/>
    </row>
    <row r="434" ht="30" customHeight="1" spans="2:16">
      <c r="B434" s="1">
        <v>433</v>
      </c>
      <c r="C434" s="24" t="s">
        <v>1057</v>
      </c>
      <c r="D434" s="24" t="s">
        <v>1058</v>
      </c>
      <c r="E434" s="25"/>
      <c r="F434" s="24" t="s">
        <v>1059</v>
      </c>
      <c r="G434" s="24"/>
      <c r="H434" s="1"/>
      <c r="I434" s="1"/>
      <c r="J434" s="29">
        <v>43481</v>
      </c>
      <c r="K434" s="1">
        <v>50</v>
      </c>
      <c r="L434" s="27"/>
      <c r="M434" s="27"/>
      <c r="N434" s="1"/>
      <c r="O434" s="45">
        <v>43482</v>
      </c>
      <c r="P434" s="1"/>
    </row>
    <row r="435" ht="73.2" customHeight="1" spans="2:16">
      <c r="B435" s="1">
        <v>434</v>
      </c>
      <c r="C435" s="24" t="s">
        <v>1060</v>
      </c>
      <c r="D435" s="24" t="s">
        <v>1061</v>
      </c>
      <c r="E435" s="25"/>
      <c r="F435" s="24" t="s">
        <v>1062</v>
      </c>
      <c r="G435" s="46" t="s">
        <v>1063</v>
      </c>
      <c r="H435" s="47" t="s">
        <v>708</v>
      </c>
      <c r="I435" s="47" t="s">
        <v>709</v>
      </c>
      <c r="J435" s="29">
        <v>43496</v>
      </c>
      <c r="K435" s="1">
        <v>146</v>
      </c>
      <c r="L435" s="27"/>
      <c r="M435" s="27"/>
      <c r="N435" s="1"/>
      <c r="O435" s="45">
        <v>43538</v>
      </c>
      <c r="P435" s="1"/>
    </row>
    <row r="436" ht="26" spans="2:16">
      <c r="B436" s="1">
        <v>435</v>
      </c>
      <c r="C436" s="24" t="s">
        <v>1064</v>
      </c>
      <c r="D436" s="24" t="s">
        <v>1065</v>
      </c>
      <c r="E436" s="25"/>
      <c r="F436" s="24" t="s">
        <v>401</v>
      </c>
      <c r="G436" s="46" t="s">
        <v>1066</v>
      </c>
      <c r="H436" s="47" t="s">
        <v>1067</v>
      </c>
      <c r="I436" s="47" t="s">
        <v>709</v>
      </c>
      <c r="J436" s="29">
        <v>43477</v>
      </c>
      <c r="K436" s="1">
        <v>15.6</v>
      </c>
      <c r="L436" s="27"/>
      <c r="M436" s="27"/>
      <c r="N436" s="1"/>
      <c r="O436" s="45">
        <v>43545</v>
      </c>
      <c r="P436" s="1"/>
    </row>
    <row r="437" ht="39" spans="2:16">
      <c r="B437" s="1">
        <v>436</v>
      </c>
      <c r="C437" s="24" t="s">
        <v>1068</v>
      </c>
      <c r="D437" s="24" t="s">
        <v>1069</v>
      </c>
      <c r="E437" s="25"/>
      <c r="F437" s="24" t="s">
        <v>1070</v>
      </c>
      <c r="G437" s="46" t="s">
        <v>1071</v>
      </c>
      <c r="H437" s="47" t="s">
        <v>709</v>
      </c>
      <c r="I437" s="47" t="s">
        <v>709</v>
      </c>
      <c r="J437" s="29" t="s">
        <v>1010</v>
      </c>
      <c r="K437" s="1">
        <v>22</v>
      </c>
      <c r="L437" s="27"/>
      <c r="M437" s="27"/>
      <c r="N437" s="1"/>
      <c r="O437" s="45">
        <v>43545</v>
      </c>
      <c r="P437" s="1"/>
    </row>
    <row r="438" spans="2:16">
      <c r="B438" s="1">
        <v>437</v>
      </c>
      <c r="C438" s="24" t="s">
        <v>1072</v>
      </c>
      <c r="D438" s="24" t="s">
        <v>1073</v>
      </c>
      <c r="E438" s="25"/>
      <c r="F438" s="24" t="s">
        <v>954</v>
      </c>
      <c r="G438" s="46" t="s">
        <v>1074</v>
      </c>
      <c r="H438" s="47" t="s">
        <v>709</v>
      </c>
      <c r="I438" s="47" t="s">
        <v>709</v>
      </c>
      <c r="J438" s="29">
        <v>43456</v>
      </c>
      <c r="K438" s="1"/>
      <c r="L438" s="27"/>
      <c r="M438" s="27"/>
      <c r="N438" s="1"/>
      <c r="O438" s="45">
        <v>43545</v>
      </c>
      <c r="P438" s="1"/>
    </row>
    <row r="439" ht="26" spans="2:16">
      <c r="B439" s="1">
        <v>438</v>
      </c>
      <c r="C439" s="24" t="s">
        <v>1075</v>
      </c>
      <c r="D439" s="24" t="s">
        <v>1076</v>
      </c>
      <c r="E439" s="25"/>
      <c r="F439" s="24" t="s">
        <v>1062</v>
      </c>
      <c r="G439" s="46" t="s">
        <v>1077</v>
      </c>
      <c r="H439" s="47" t="s">
        <v>1078</v>
      </c>
      <c r="I439" s="47" t="s">
        <v>709</v>
      </c>
      <c r="J439" s="29">
        <v>42993</v>
      </c>
      <c r="K439" s="1"/>
      <c r="L439" s="27"/>
      <c r="M439" s="27"/>
      <c r="N439" s="1"/>
      <c r="O439" s="45">
        <v>43565</v>
      </c>
      <c r="P439" s="1"/>
    </row>
    <row r="440" ht="26" spans="2:16">
      <c r="B440" s="1">
        <v>439</v>
      </c>
      <c r="C440" s="24" t="s">
        <v>1079</v>
      </c>
      <c r="D440" s="24" t="s">
        <v>592</v>
      </c>
      <c r="E440" s="25"/>
      <c r="F440" s="24" t="s">
        <v>1062</v>
      </c>
      <c r="G440" s="46" t="s">
        <v>1080</v>
      </c>
      <c r="H440" s="47" t="s">
        <v>1001</v>
      </c>
      <c r="I440" s="47" t="s">
        <v>709</v>
      </c>
      <c r="J440" s="29">
        <v>43522</v>
      </c>
      <c r="K440" s="1"/>
      <c r="L440" s="27"/>
      <c r="M440" s="27"/>
      <c r="N440" s="1"/>
      <c r="O440" s="45">
        <v>43570</v>
      </c>
      <c r="P440" s="1"/>
    </row>
    <row r="441" ht="26" spans="2:16">
      <c r="B441" s="1">
        <v>440</v>
      </c>
      <c r="C441" s="24" t="s">
        <v>1081</v>
      </c>
      <c r="D441" s="24" t="s">
        <v>1082</v>
      </c>
      <c r="E441" s="25"/>
      <c r="F441" s="24" t="s">
        <v>1062</v>
      </c>
      <c r="G441" s="46" t="s">
        <v>1083</v>
      </c>
      <c r="H441" s="47" t="s">
        <v>1078</v>
      </c>
      <c r="I441" s="47" t="s">
        <v>709</v>
      </c>
      <c r="J441" s="29">
        <v>43009</v>
      </c>
      <c r="K441" s="1">
        <v>68.29</v>
      </c>
      <c r="L441" s="27"/>
      <c r="M441" s="27"/>
      <c r="N441" s="1"/>
      <c r="O441" s="45">
        <v>43570</v>
      </c>
      <c r="P441" s="1"/>
    </row>
    <row r="442" ht="78" spans="2:16">
      <c r="B442" s="1">
        <v>441</v>
      </c>
      <c r="C442" s="24" t="s">
        <v>1084</v>
      </c>
      <c r="D442" s="24" t="s">
        <v>1082</v>
      </c>
      <c r="E442" s="25"/>
      <c r="F442" s="24" t="s">
        <v>1062</v>
      </c>
      <c r="G442" s="46" t="s">
        <v>1085</v>
      </c>
      <c r="H442" s="47" t="s">
        <v>1086</v>
      </c>
      <c r="I442" s="47" t="s">
        <v>709</v>
      </c>
      <c r="J442" s="29">
        <v>43009</v>
      </c>
      <c r="K442" s="1">
        <v>45.7001</v>
      </c>
      <c r="L442" s="27"/>
      <c r="M442" s="27"/>
      <c r="N442" s="1"/>
      <c r="O442" s="45">
        <v>43570</v>
      </c>
      <c r="P442" s="1"/>
    </row>
    <row r="443" ht="26" spans="2:16">
      <c r="B443" s="1">
        <v>442</v>
      </c>
      <c r="C443" s="24" t="s">
        <v>1087</v>
      </c>
      <c r="D443" s="24" t="s">
        <v>1082</v>
      </c>
      <c r="E443" s="25"/>
      <c r="F443" s="24" t="s">
        <v>367</v>
      </c>
      <c r="G443" s="46" t="s">
        <v>1088</v>
      </c>
      <c r="H443" s="47" t="s">
        <v>989</v>
      </c>
      <c r="I443" s="47" t="s">
        <v>709</v>
      </c>
      <c r="J443" s="29">
        <v>43313</v>
      </c>
      <c r="K443" s="1">
        <v>22.55</v>
      </c>
      <c r="L443" s="27"/>
      <c r="M443" s="27"/>
      <c r="N443" s="1"/>
      <c r="O443" s="45">
        <v>43570</v>
      </c>
      <c r="P443" s="1"/>
    </row>
    <row r="444" ht="26" spans="2:16">
      <c r="B444" s="1">
        <v>443</v>
      </c>
      <c r="C444" s="24" t="s">
        <v>1089</v>
      </c>
      <c r="D444" s="24" t="s">
        <v>1058</v>
      </c>
      <c r="E444" s="25"/>
      <c r="F444" s="24" t="s">
        <v>1090</v>
      </c>
      <c r="G444" s="24"/>
      <c r="H444" s="1"/>
      <c r="I444" s="1"/>
      <c r="J444" s="29">
        <v>43473</v>
      </c>
      <c r="K444" s="1">
        <v>70</v>
      </c>
      <c r="L444" s="27"/>
      <c r="M444" s="27"/>
      <c r="N444" s="1"/>
      <c r="O444" s="45">
        <v>43580</v>
      </c>
      <c r="P444" s="1"/>
    </row>
    <row r="445" spans="2:16">
      <c r="B445" s="1">
        <v>444</v>
      </c>
      <c r="C445" s="24" t="s">
        <v>1091</v>
      </c>
      <c r="D445" s="24" t="s">
        <v>1058</v>
      </c>
      <c r="E445" s="25"/>
      <c r="F445" s="24" t="s">
        <v>1090</v>
      </c>
      <c r="G445" s="24"/>
      <c r="H445" s="1"/>
      <c r="I445" s="1"/>
      <c r="J445" s="29">
        <v>43473</v>
      </c>
      <c r="K445" s="1">
        <v>30</v>
      </c>
      <c r="L445" s="27"/>
      <c r="M445" s="27"/>
      <c r="N445" s="1"/>
      <c r="O445" s="45">
        <v>43580</v>
      </c>
      <c r="P445" s="1"/>
    </row>
    <row r="446" ht="26" spans="2:16">
      <c r="B446" s="1">
        <v>445</v>
      </c>
      <c r="C446" s="24" t="s">
        <v>1092</v>
      </c>
      <c r="D446" s="24" t="s">
        <v>1093</v>
      </c>
      <c r="E446" s="25"/>
      <c r="F446" s="24" t="s">
        <v>954</v>
      </c>
      <c r="G446" s="24"/>
      <c r="H446" s="1"/>
      <c r="I446" s="1"/>
      <c r="J446" s="29">
        <v>43473</v>
      </c>
      <c r="K446" s="1">
        <v>40</v>
      </c>
      <c r="L446" s="27"/>
      <c r="M446" s="27"/>
      <c r="N446" s="1"/>
      <c r="O446" s="45">
        <v>43580</v>
      </c>
      <c r="P446" s="1"/>
    </row>
    <row r="447" spans="2:16">
      <c r="B447" s="1">
        <v>446</v>
      </c>
      <c r="C447" s="24" t="s">
        <v>1094</v>
      </c>
      <c r="D447" s="24" t="s">
        <v>1093</v>
      </c>
      <c r="E447" s="25"/>
      <c r="F447" s="24" t="s">
        <v>954</v>
      </c>
      <c r="G447" s="24"/>
      <c r="H447" s="1"/>
      <c r="I447" s="1"/>
      <c r="J447" s="29">
        <v>43473</v>
      </c>
      <c r="K447" s="1">
        <v>30</v>
      </c>
      <c r="L447" s="27"/>
      <c r="M447" s="27"/>
      <c r="N447" s="1"/>
      <c r="O447" s="45">
        <v>43580</v>
      </c>
      <c r="P447" s="1"/>
    </row>
    <row r="448" spans="2:16">
      <c r="B448" s="1">
        <v>447</v>
      </c>
      <c r="C448" s="24" t="s">
        <v>1095</v>
      </c>
      <c r="D448" s="24" t="s">
        <v>546</v>
      </c>
      <c r="E448" s="25"/>
      <c r="F448" s="24" t="s">
        <v>361</v>
      </c>
      <c r="G448" s="24"/>
      <c r="H448" s="1"/>
      <c r="I448" s="1"/>
      <c r="J448" s="29">
        <v>43403</v>
      </c>
      <c r="K448" s="1">
        <v>25</v>
      </c>
      <c r="L448" s="27"/>
      <c r="M448" s="27"/>
      <c r="N448" s="1"/>
      <c r="O448" s="45">
        <v>43580</v>
      </c>
      <c r="P448" s="1"/>
    </row>
    <row r="449" ht="26" spans="2:16">
      <c r="B449" s="1">
        <v>448</v>
      </c>
      <c r="C449" s="24" t="s">
        <v>1096</v>
      </c>
      <c r="D449" s="24" t="s">
        <v>546</v>
      </c>
      <c r="E449" s="25"/>
      <c r="F449" s="24" t="s">
        <v>1097</v>
      </c>
      <c r="G449" s="24"/>
      <c r="H449" s="1"/>
      <c r="I449" s="1"/>
      <c r="J449" s="29">
        <v>42916</v>
      </c>
      <c r="K449" s="1"/>
      <c r="L449" s="27"/>
      <c r="M449" s="27"/>
      <c r="N449" s="1"/>
      <c r="O449" s="45">
        <v>43580</v>
      </c>
      <c r="P449" s="1"/>
    </row>
    <row r="450" ht="28.2" customHeight="1" spans="2:16">
      <c r="B450" s="1">
        <v>449</v>
      </c>
      <c r="C450" s="24" t="s">
        <v>1098</v>
      </c>
      <c r="D450" s="24" t="s">
        <v>546</v>
      </c>
      <c r="E450" s="25"/>
      <c r="F450" s="24" t="s">
        <v>1097</v>
      </c>
      <c r="G450" s="24"/>
      <c r="H450" s="1"/>
      <c r="I450" s="1"/>
      <c r="J450" s="29">
        <v>42916</v>
      </c>
      <c r="K450" s="1"/>
      <c r="L450" s="27"/>
      <c r="M450" s="27"/>
      <c r="N450" s="1"/>
      <c r="O450" s="45">
        <v>43580</v>
      </c>
      <c r="P450" s="1"/>
    </row>
    <row r="451" ht="20.4" customHeight="1" spans="2:16">
      <c r="B451" s="1">
        <v>450</v>
      </c>
      <c r="C451" s="24" t="s">
        <v>1099</v>
      </c>
      <c r="D451" s="24" t="s">
        <v>546</v>
      </c>
      <c r="E451" s="25"/>
      <c r="F451" s="24" t="s">
        <v>954</v>
      </c>
      <c r="G451" s="24"/>
      <c r="H451" s="1"/>
      <c r="I451" s="1"/>
      <c r="J451" s="29">
        <v>42641</v>
      </c>
      <c r="K451" s="1">
        <v>139</v>
      </c>
      <c r="L451" s="27"/>
      <c r="M451" s="27"/>
      <c r="N451" s="1"/>
      <c r="O451" s="45">
        <v>43580</v>
      </c>
      <c r="P451" s="1"/>
    </row>
    <row r="452" ht="26" spans="2:16">
      <c r="B452" s="1">
        <v>451</v>
      </c>
      <c r="C452" s="24" t="s">
        <v>1100</v>
      </c>
      <c r="D452" s="24" t="s">
        <v>1101</v>
      </c>
      <c r="E452" s="25"/>
      <c r="F452" s="24" t="s">
        <v>1102</v>
      </c>
      <c r="G452" s="46" t="s">
        <v>1103</v>
      </c>
      <c r="H452" s="47" t="s">
        <v>1104</v>
      </c>
      <c r="I452" s="47" t="s">
        <v>709</v>
      </c>
      <c r="J452" s="29">
        <v>43381</v>
      </c>
      <c r="K452" s="1"/>
      <c r="L452" s="27"/>
      <c r="M452" s="27"/>
      <c r="N452" s="1"/>
      <c r="O452" s="45">
        <v>43671</v>
      </c>
      <c r="P452" s="1"/>
    </row>
    <row r="453" ht="26" spans="2:16">
      <c r="B453" s="1">
        <v>452</v>
      </c>
      <c r="C453" s="24" t="s">
        <v>1105</v>
      </c>
      <c r="D453" s="24" t="s">
        <v>1082</v>
      </c>
      <c r="E453" s="25"/>
      <c r="F453" s="24" t="s">
        <v>1097</v>
      </c>
      <c r="G453" s="46" t="s">
        <v>1106</v>
      </c>
      <c r="H453" s="47" t="s">
        <v>708</v>
      </c>
      <c r="I453" s="47" t="s">
        <v>884</v>
      </c>
      <c r="J453" s="29">
        <v>43634</v>
      </c>
      <c r="K453" s="1">
        <v>368</v>
      </c>
      <c r="L453" s="27"/>
      <c r="M453" s="27"/>
      <c r="N453" s="1"/>
      <c r="O453" s="45">
        <v>43671</v>
      </c>
      <c r="P453" s="1"/>
    </row>
    <row r="454" ht="63.6" customHeight="1" spans="2:16">
      <c r="B454" s="1">
        <v>453</v>
      </c>
      <c r="C454" s="24" t="s">
        <v>1107</v>
      </c>
      <c r="D454" s="24" t="s">
        <v>1082</v>
      </c>
      <c r="E454" s="25"/>
      <c r="F454" s="24" t="s">
        <v>367</v>
      </c>
      <c r="G454" s="46" t="s">
        <v>1108</v>
      </c>
      <c r="H454" s="47" t="s">
        <v>1104</v>
      </c>
      <c r="I454" s="47" t="s">
        <v>709</v>
      </c>
      <c r="J454" s="29">
        <v>43606</v>
      </c>
      <c r="K454" s="1"/>
      <c r="L454" s="27"/>
      <c r="M454" s="27"/>
      <c r="N454" s="1"/>
      <c r="O454" s="45">
        <v>43671</v>
      </c>
      <c r="P454" s="1"/>
    </row>
    <row r="455" ht="25.2" customHeight="1" spans="2:16">
      <c r="B455" s="1">
        <v>454</v>
      </c>
      <c r="C455" s="24" t="s">
        <v>1109</v>
      </c>
      <c r="D455" s="24" t="s">
        <v>1110</v>
      </c>
      <c r="E455" s="25"/>
      <c r="F455" s="24" t="s">
        <v>361</v>
      </c>
      <c r="G455" s="24"/>
      <c r="H455" s="1"/>
      <c r="I455" s="1"/>
      <c r="J455" s="29">
        <v>43523</v>
      </c>
      <c r="K455" s="1">
        <v>10</v>
      </c>
      <c r="L455" s="27"/>
      <c r="M455" s="27"/>
      <c r="N455" s="1"/>
      <c r="O455" s="45">
        <v>43671</v>
      </c>
      <c r="P455" s="1"/>
    </row>
    <row r="456" ht="26" spans="2:16">
      <c r="B456" s="1">
        <v>455</v>
      </c>
      <c r="C456" s="24" t="s">
        <v>1111</v>
      </c>
      <c r="D456" s="24" t="s">
        <v>1112</v>
      </c>
      <c r="E456" s="25"/>
      <c r="F456" s="24" t="s">
        <v>1113</v>
      </c>
      <c r="G456" s="46" t="s">
        <v>1114</v>
      </c>
      <c r="H456" s="47" t="s">
        <v>1115</v>
      </c>
      <c r="I456" s="47" t="s">
        <v>709</v>
      </c>
      <c r="J456" s="29">
        <v>43507</v>
      </c>
      <c r="K456" s="1"/>
      <c r="L456" s="27"/>
      <c r="M456" s="27"/>
      <c r="N456" s="1"/>
      <c r="O456" s="45">
        <v>43671</v>
      </c>
      <c r="P456" s="1"/>
    </row>
    <row r="457" ht="26" spans="2:16">
      <c r="B457" s="1">
        <v>456</v>
      </c>
      <c r="C457" s="24" t="s">
        <v>1116</v>
      </c>
      <c r="D457" s="24" t="s">
        <v>517</v>
      </c>
      <c r="E457" s="25"/>
      <c r="F457" s="24" t="s">
        <v>1117</v>
      </c>
      <c r="G457" s="46" t="s">
        <v>1118</v>
      </c>
      <c r="H457" s="47" t="s">
        <v>1115</v>
      </c>
      <c r="I457" s="47" t="s">
        <v>709</v>
      </c>
      <c r="J457" s="29">
        <v>43497</v>
      </c>
      <c r="K457" s="1"/>
      <c r="L457" s="27"/>
      <c r="M457" s="27"/>
      <c r="N457" s="1"/>
      <c r="O457" s="45">
        <v>43671</v>
      </c>
      <c r="P457" s="1"/>
    </row>
    <row r="458" ht="26" spans="2:16">
      <c r="B458" s="1">
        <v>457</v>
      </c>
      <c r="C458" s="24" t="s">
        <v>1119</v>
      </c>
      <c r="D458" s="24" t="s">
        <v>517</v>
      </c>
      <c r="E458" s="25"/>
      <c r="F458" s="24" t="s">
        <v>1117</v>
      </c>
      <c r="G458" s="46" t="s">
        <v>1118</v>
      </c>
      <c r="H458" s="47" t="s">
        <v>1120</v>
      </c>
      <c r="I458" s="47" t="s">
        <v>709</v>
      </c>
      <c r="J458" s="29">
        <v>43497</v>
      </c>
      <c r="K458" s="1"/>
      <c r="L458" s="27"/>
      <c r="M458" s="27"/>
      <c r="N458" s="1"/>
      <c r="O458" s="45">
        <v>43671</v>
      </c>
      <c r="P458" s="1"/>
    </row>
    <row r="459" spans="2:16">
      <c r="B459" s="1">
        <v>458</v>
      </c>
      <c r="C459" s="24" t="s">
        <v>1121</v>
      </c>
      <c r="D459" s="24" t="s">
        <v>1023</v>
      </c>
      <c r="E459" s="25"/>
      <c r="F459" s="24" t="s">
        <v>367</v>
      </c>
      <c r="G459" s="46" t="s">
        <v>1122</v>
      </c>
      <c r="H459" s="47" t="s">
        <v>1115</v>
      </c>
      <c r="I459" s="47" t="s">
        <v>709</v>
      </c>
      <c r="J459" s="29">
        <v>43546</v>
      </c>
      <c r="K459" s="1"/>
      <c r="L459" s="27"/>
      <c r="M459" s="27"/>
      <c r="N459" s="1"/>
      <c r="O459" s="45">
        <v>43671</v>
      </c>
      <c r="P459" s="1"/>
    </row>
    <row r="460" ht="39" spans="2:16">
      <c r="B460" s="1">
        <v>459</v>
      </c>
      <c r="C460" s="24" t="s">
        <v>1123</v>
      </c>
      <c r="D460" s="24" t="s">
        <v>1124</v>
      </c>
      <c r="E460" s="25"/>
      <c r="F460" s="24" t="s">
        <v>1125</v>
      </c>
      <c r="G460" s="46" t="s">
        <v>1126</v>
      </c>
      <c r="H460" s="47" t="s">
        <v>1104</v>
      </c>
      <c r="I460" s="47" t="s">
        <v>709</v>
      </c>
      <c r="J460" s="29">
        <v>43644</v>
      </c>
      <c r="K460" s="1">
        <v>10</v>
      </c>
      <c r="L460" s="27"/>
      <c r="M460" s="27"/>
      <c r="N460" s="1"/>
      <c r="O460" s="45">
        <v>43707</v>
      </c>
      <c r="P460" s="1"/>
    </row>
    <row r="461" ht="26" spans="2:16">
      <c r="B461" s="1">
        <v>460</v>
      </c>
      <c r="C461" s="24" t="s">
        <v>1127</v>
      </c>
      <c r="D461" s="24" t="s">
        <v>1082</v>
      </c>
      <c r="E461" s="25"/>
      <c r="F461" s="24" t="s">
        <v>1128</v>
      </c>
      <c r="G461" s="46" t="s">
        <v>1129</v>
      </c>
      <c r="H461" s="47" t="s">
        <v>1104</v>
      </c>
      <c r="I461" s="47" t="s">
        <v>709</v>
      </c>
      <c r="J461" s="29">
        <v>43647</v>
      </c>
      <c r="K461" s="1"/>
      <c r="L461" s="27"/>
      <c r="M461" s="27"/>
      <c r="N461" s="1"/>
      <c r="O461" s="45">
        <v>43707</v>
      </c>
      <c r="P461" s="1"/>
    </row>
    <row r="462" ht="24.6" customHeight="1" spans="2:16">
      <c r="B462" s="1">
        <v>461</v>
      </c>
      <c r="C462" s="24" t="s">
        <v>1130</v>
      </c>
      <c r="D462" s="24" t="s">
        <v>1069</v>
      </c>
      <c r="E462" s="25"/>
      <c r="F462" s="24" t="s">
        <v>1131</v>
      </c>
      <c r="G462" s="46" t="s">
        <v>1132</v>
      </c>
      <c r="H462" s="47" t="s">
        <v>721</v>
      </c>
      <c r="I462" s="47" t="s">
        <v>709</v>
      </c>
      <c r="J462" s="29">
        <v>43525</v>
      </c>
      <c r="K462" s="1">
        <v>2</v>
      </c>
      <c r="L462" s="27"/>
      <c r="M462" s="27"/>
      <c r="N462" s="1"/>
      <c r="O462" s="45">
        <v>43707</v>
      </c>
      <c r="P462" s="1"/>
    </row>
    <row r="463" ht="39" spans="2:16">
      <c r="B463" s="1">
        <v>462</v>
      </c>
      <c r="C463" s="24" t="s">
        <v>1133</v>
      </c>
      <c r="D463" s="24" t="s">
        <v>1134</v>
      </c>
      <c r="E463" s="25"/>
      <c r="F463" s="24" t="s">
        <v>401</v>
      </c>
      <c r="G463" s="46" t="s">
        <v>1135</v>
      </c>
      <c r="H463" s="47" t="s">
        <v>721</v>
      </c>
      <c r="I463" s="47" t="s">
        <v>709</v>
      </c>
      <c r="J463" s="29">
        <v>43678</v>
      </c>
      <c r="K463" s="1"/>
      <c r="L463" s="27"/>
      <c r="M463" s="27"/>
      <c r="N463" s="1"/>
      <c r="O463" s="45">
        <v>43707</v>
      </c>
      <c r="P463" s="1"/>
    </row>
    <row r="464" ht="26" spans="2:16">
      <c r="B464" s="1">
        <v>463</v>
      </c>
      <c r="C464" s="24" t="s">
        <v>1136</v>
      </c>
      <c r="D464" s="24" t="s">
        <v>1137</v>
      </c>
      <c r="E464" s="25"/>
      <c r="F464" s="24" t="s">
        <v>1138</v>
      </c>
      <c r="G464" s="46" t="s">
        <v>1139</v>
      </c>
      <c r="H464" s="47" t="s">
        <v>708</v>
      </c>
      <c r="I464" s="47" t="s">
        <v>813</v>
      </c>
      <c r="J464" s="29">
        <v>43525</v>
      </c>
      <c r="K464" s="1">
        <v>280</v>
      </c>
      <c r="L464" s="27"/>
      <c r="M464" s="27"/>
      <c r="N464" s="1"/>
      <c r="O464" s="45">
        <v>43707</v>
      </c>
      <c r="P464" s="1"/>
    </row>
    <row r="465" spans="2:16">
      <c r="B465" s="1">
        <v>464</v>
      </c>
      <c r="C465" s="24" t="s">
        <v>1140</v>
      </c>
      <c r="D465" s="24" t="s">
        <v>1141</v>
      </c>
      <c r="E465" s="25"/>
      <c r="F465" s="24" t="s">
        <v>1142</v>
      </c>
      <c r="G465" s="24"/>
      <c r="H465" s="1"/>
      <c r="I465" s="1"/>
      <c r="J465" s="29">
        <v>43414</v>
      </c>
      <c r="K465" s="1"/>
      <c r="L465" s="27"/>
      <c r="M465" s="27"/>
      <c r="N465" s="1"/>
      <c r="O465" s="45">
        <v>43707</v>
      </c>
      <c r="P465" s="1"/>
    </row>
    <row r="466" ht="26" spans="2:16">
      <c r="B466" s="1">
        <v>465</v>
      </c>
      <c r="C466" s="24" t="s">
        <v>1143</v>
      </c>
      <c r="D466" s="24" t="s">
        <v>564</v>
      </c>
      <c r="E466" s="25"/>
      <c r="F466" s="24" t="s">
        <v>1144</v>
      </c>
      <c r="G466" s="46" t="s">
        <v>1145</v>
      </c>
      <c r="H466" s="47" t="s">
        <v>884</v>
      </c>
      <c r="I466" s="47" t="s">
        <v>709</v>
      </c>
      <c r="J466" s="29">
        <v>42894</v>
      </c>
      <c r="K466" s="1">
        <v>0.95</v>
      </c>
      <c r="L466" s="27"/>
      <c r="M466" s="27"/>
      <c r="N466" s="1"/>
      <c r="O466" s="45">
        <v>43710</v>
      </c>
      <c r="P466" s="1"/>
    </row>
    <row r="467" ht="39" spans="2:16">
      <c r="B467" s="1">
        <v>466</v>
      </c>
      <c r="C467" s="24" t="s">
        <v>1146</v>
      </c>
      <c r="D467" s="24" t="s">
        <v>564</v>
      </c>
      <c r="E467" s="25"/>
      <c r="F467" s="24" t="s">
        <v>1147</v>
      </c>
      <c r="G467" s="46" t="s">
        <v>1148</v>
      </c>
      <c r="H467" s="47" t="s">
        <v>884</v>
      </c>
      <c r="I467" s="47" t="s">
        <v>709</v>
      </c>
      <c r="J467" s="29">
        <v>43332</v>
      </c>
      <c r="K467" s="1">
        <v>8.17</v>
      </c>
      <c r="L467" s="27"/>
      <c r="M467" s="27"/>
      <c r="N467" s="1"/>
      <c r="O467" s="45">
        <v>43710</v>
      </c>
      <c r="P467" s="1"/>
    </row>
    <row r="468" ht="26" spans="2:16">
      <c r="B468" s="1">
        <v>467</v>
      </c>
      <c r="C468" s="24" t="s">
        <v>1149</v>
      </c>
      <c r="D468" s="24" t="s">
        <v>564</v>
      </c>
      <c r="E468" s="25"/>
      <c r="F468" s="24" t="s">
        <v>365</v>
      </c>
      <c r="G468" s="46" t="s">
        <v>1150</v>
      </c>
      <c r="H468" s="47" t="s">
        <v>884</v>
      </c>
      <c r="I468" s="47" t="s">
        <v>709</v>
      </c>
      <c r="J468" s="29">
        <v>43560</v>
      </c>
      <c r="K468" s="1">
        <v>79.84</v>
      </c>
      <c r="L468" s="27"/>
      <c r="M468" s="27"/>
      <c r="N468" s="1"/>
      <c r="O468" s="45">
        <v>43710</v>
      </c>
      <c r="P468" s="1"/>
    </row>
    <row r="469" ht="26" spans="2:16">
      <c r="B469" s="1">
        <v>468</v>
      </c>
      <c r="C469" s="24" t="s">
        <v>1151</v>
      </c>
      <c r="D469" s="24" t="s">
        <v>564</v>
      </c>
      <c r="E469" s="25"/>
      <c r="F469" s="24" t="s">
        <v>453</v>
      </c>
      <c r="G469" s="46" t="s">
        <v>1152</v>
      </c>
      <c r="H469" s="47" t="s">
        <v>884</v>
      </c>
      <c r="I469" s="47" t="s">
        <v>709</v>
      </c>
      <c r="J469" s="29">
        <v>43160</v>
      </c>
      <c r="K469" s="1">
        <v>35.24</v>
      </c>
      <c r="L469" s="27"/>
      <c r="M469" s="27"/>
      <c r="N469" s="1"/>
      <c r="O469" s="45">
        <v>43710</v>
      </c>
      <c r="P469" s="1"/>
    </row>
    <row r="470" ht="26" spans="2:16">
      <c r="B470" s="1">
        <v>469</v>
      </c>
      <c r="C470" s="24" t="s">
        <v>1153</v>
      </c>
      <c r="D470" s="24" t="s">
        <v>564</v>
      </c>
      <c r="E470" s="25"/>
      <c r="F470" s="24" t="s">
        <v>365</v>
      </c>
      <c r="G470" s="46" t="s">
        <v>1154</v>
      </c>
      <c r="H470" s="47" t="s">
        <v>884</v>
      </c>
      <c r="I470" s="47" t="s">
        <v>709</v>
      </c>
      <c r="J470" s="29">
        <v>43272</v>
      </c>
      <c r="K470" s="1">
        <v>15.39</v>
      </c>
      <c r="L470" s="27"/>
      <c r="M470" s="27"/>
      <c r="N470" s="1"/>
      <c r="O470" s="45">
        <v>43710</v>
      </c>
      <c r="P470" s="1"/>
    </row>
    <row r="471" ht="23.4" customHeight="1" spans="2:16">
      <c r="B471" s="1">
        <v>470</v>
      </c>
      <c r="C471" s="24" t="s">
        <v>1155</v>
      </c>
      <c r="D471" s="24" t="s">
        <v>564</v>
      </c>
      <c r="E471" s="25"/>
      <c r="F471" s="24" t="s">
        <v>365</v>
      </c>
      <c r="G471" s="46" t="s">
        <v>1154</v>
      </c>
      <c r="H471" s="47" t="s">
        <v>884</v>
      </c>
      <c r="I471" s="47" t="s">
        <v>709</v>
      </c>
      <c r="J471" s="29">
        <v>42480</v>
      </c>
      <c r="K471" s="1">
        <v>9.32</v>
      </c>
      <c r="L471" s="27"/>
      <c r="M471" s="27"/>
      <c r="N471" s="1"/>
      <c r="O471" s="45">
        <v>43710</v>
      </c>
      <c r="P471" s="1"/>
    </row>
    <row r="472" ht="26" spans="2:16">
      <c r="B472" s="1">
        <v>471</v>
      </c>
      <c r="C472" s="24" t="s">
        <v>1156</v>
      </c>
      <c r="D472" s="24" t="s">
        <v>564</v>
      </c>
      <c r="E472" s="25"/>
      <c r="F472" s="24" t="s">
        <v>367</v>
      </c>
      <c r="G472" s="46" t="s">
        <v>1157</v>
      </c>
      <c r="H472" s="47" t="s">
        <v>884</v>
      </c>
      <c r="I472" s="47" t="s">
        <v>709</v>
      </c>
      <c r="J472" s="29">
        <v>43179</v>
      </c>
      <c r="K472" s="1">
        <v>12.4</v>
      </c>
      <c r="L472" s="27"/>
      <c r="M472" s="27"/>
      <c r="N472" s="1"/>
      <c r="O472" s="45">
        <v>43710</v>
      </c>
      <c r="P472" s="1"/>
    </row>
    <row r="473" spans="2:16">
      <c r="B473" s="1">
        <v>472</v>
      </c>
      <c r="C473" s="24" t="s">
        <v>1158</v>
      </c>
      <c r="D473" s="24" t="s">
        <v>564</v>
      </c>
      <c r="E473" s="25"/>
      <c r="F473" s="24" t="s">
        <v>1159</v>
      </c>
      <c r="G473" s="46" t="s">
        <v>1159</v>
      </c>
      <c r="H473" s="47" t="s">
        <v>884</v>
      </c>
      <c r="I473" s="47" t="s">
        <v>709</v>
      </c>
      <c r="J473" s="29">
        <v>42934</v>
      </c>
      <c r="K473" s="1">
        <v>44.89</v>
      </c>
      <c r="L473" s="27"/>
      <c r="M473" s="27"/>
      <c r="N473" s="1"/>
      <c r="O473" s="45">
        <v>43710</v>
      </c>
      <c r="P473" s="1"/>
    </row>
    <row r="474" ht="26" spans="2:16">
      <c r="B474" s="1">
        <v>473</v>
      </c>
      <c r="C474" s="24" t="s">
        <v>1160</v>
      </c>
      <c r="D474" s="24" t="s">
        <v>564</v>
      </c>
      <c r="E474" s="25"/>
      <c r="F474" s="24" t="s">
        <v>365</v>
      </c>
      <c r="G474" s="46" t="s">
        <v>1154</v>
      </c>
      <c r="H474" s="47" t="s">
        <v>884</v>
      </c>
      <c r="I474" s="47" t="s">
        <v>709</v>
      </c>
      <c r="J474" s="29">
        <v>42863</v>
      </c>
      <c r="K474" s="1">
        <v>27.45</v>
      </c>
      <c r="L474" s="27"/>
      <c r="M474" s="27"/>
      <c r="N474" s="1"/>
      <c r="O474" s="45">
        <v>43710</v>
      </c>
      <c r="P474" s="1"/>
    </row>
    <row r="475" ht="26" spans="2:16">
      <c r="B475" s="1">
        <v>474</v>
      </c>
      <c r="C475" s="24" t="s">
        <v>1161</v>
      </c>
      <c r="D475" s="24" t="s">
        <v>564</v>
      </c>
      <c r="E475" s="25"/>
      <c r="F475" s="24" t="s">
        <v>401</v>
      </c>
      <c r="G475" s="46" t="s">
        <v>1162</v>
      </c>
      <c r="H475" s="47" t="s">
        <v>709</v>
      </c>
      <c r="I475" s="47" t="s">
        <v>709</v>
      </c>
      <c r="J475" s="29">
        <v>42654</v>
      </c>
      <c r="K475" s="1">
        <v>2.02</v>
      </c>
      <c r="L475" s="27"/>
      <c r="M475" s="27"/>
      <c r="N475" s="1"/>
      <c r="O475" s="45">
        <v>43710</v>
      </c>
      <c r="P475" s="1"/>
    </row>
    <row r="476" ht="26" spans="2:16">
      <c r="B476" s="1">
        <v>475</v>
      </c>
      <c r="C476" s="24" t="s">
        <v>1163</v>
      </c>
      <c r="D476" s="24" t="s">
        <v>564</v>
      </c>
      <c r="E476" s="25"/>
      <c r="F476" s="24" t="s">
        <v>365</v>
      </c>
      <c r="G476" s="46" t="s">
        <v>1164</v>
      </c>
      <c r="H476" s="47" t="s">
        <v>709</v>
      </c>
      <c r="I476" s="47" t="s">
        <v>709</v>
      </c>
      <c r="J476" s="29">
        <v>43025</v>
      </c>
      <c r="K476" s="1">
        <v>14.09</v>
      </c>
      <c r="L476" s="27"/>
      <c r="M476" s="27"/>
      <c r="N476" s="1"/>
      <c r="O476" s="45">
        <v>43710</v>
      </c>
      <c r="P476" s="1"/>
    </row>
    <row r="477" spans="2:16">
      <c r="B477" s="1">
        <v>476</v>
      </c>
      <c r="C477" s="24" t="s">
        <v>1165</v>
      </c>
      <c r="D477" s="24" t="s">
        <v>1166</v>
      </c>
      <c r="E477" s="25"/>
      <c r="F477" s="24" t="s">
        <v>361</v>
      </c>
      <c r="G477" s="24"/>
      <c r="H477" s="1"/>
      <c r="I477" s="1"/>
      <c r="J477" s="29">
        <v>43070</v>
      </c>
      <c r="K477" s="1">
        <v>32</v>
      </c>
      <c r="L477" s="27"/>
      <c r="M477" s="27"/>
      <c r="N477" s="1"/>
      <c r="O477" s="45">
        <v>43710</v>
      </c>
      <c r="P477" s="1"/>
    </row>
    <row r="478" ht="26" spans="2:16">
      <c r="B478" s="1">
        <v>477</v>
      </c>
      <c r="C478" s="24" t="s">
        <v>1167</v>
      </c>
      <c r="D478" s="24" t="s">
        <v>1168</v>
      </c>
      <c r="E478" s="25"/>
      <c r="F478" s="24" t="s">
        <v>365</v>
      </c>
      <c r="G478" s="46" t="s">
        <v>1169</v>
      </c>
      <c r="H478" s="47" t="s">
        <v>1170</v>
      </c>
      <c r="I478" s="47" t="s">
        <v>709</v>
      </c>
      <c r="J478" s="29">
        <v>43586</v>
      </c>
      <c r="K478" s="1"/>
      <c r="L478" s="27"/>
      <c r="M478" s="27"/>
      <c r="N478" s="1"/>
      <c r="O478" s="45">
        <v>43523</v>
      </c>
      <c r="P478" s="1"/>
    </row>
    <row r="479" ht="26" spans="2:16">
      <c r="B479" s="1">
        <v>478</v>
      </c>
      <c r="C479" s="24" t="s">
        <v>1171</v>
      </c>
      <c r="D479" s="24" t="s">
        <v>1168</v>
      </c>
      <c r="E479" s="25"/>
      <c r="F479" s="24" t="s">
        <v>365</v>
      </c>
      <c r="G479" s="46" t="s">
        <v>1169</v>
      </c>
      <c r="H479" s="47" t="s">
        <v>1170</v>
      </c>
      <c r="I479" s="47" t="s">
        <v>709</v>
      </c>
      <c r="J479" s="29">
        <v>43586</v>
      </c>
      <c r="K479" s="1"/>
      <c r="L479" s="27"/>
      <c r="M479" s="27"/>
      <c r="N479" s="1"/>
      <c r="O479" s="45">
        <v>43523</v>
      </c>
      <c r="P479" s="1"/>
    </row>
    <row r="480" ht="26.4" customHeight="1" spans="2:16">
      <c r="B480" s="1">
        <v>479</v>
      </c>
      <c r="C480" s="24" t="s">
        <v>1172</v>
      </c>
      <c r="D480" s="24" t="s">
        <v>1073</v>
      </c>
      <c r="E480" s="25"/>
      <c r="F480" s="24" t="s">
        <v>365</v>
      </c>
      <c r="G480" s="46" t="s">
        <v>1173</v>
      </c>
      <c r="H480" s="47" t="s">
        <v>709</v>
      </c>
      <c r="I480" s="47" t="s">
        <v>709</v>
      </c>
      <c r="J480" s="29">
        <v>43132</v>
      </c>
      <c r="K480" s="1"/>
      <c r="L480" s="27"/>
      <c r="M480" s="27"/>
      <c r="N480" s="1"/>
      <c r="O480" s="45">
        <v>43523</v>
      </c>
      <c r="P480" s="1"/>
    </row>
    <row r="481" ht="26" spans="1:17">
      <c r="B481" s="1">
        <v>480</v>
      </c>
      <c r="C481" s="24" t="s">
        <v>1174</v>
      </c>
      <c r="D481" s="24" t="s">
        <v>1175</v>
      </c>
      <c r="E481" s="14"/>
      <c r="F481" s="24" t="s">
        <v>1176</v>
      </c>
      <c r="G481" s="46" t="s">
        <v>1177</v>
      </c>
      <c r="H481" s="47" t="s">
        <v>709</v>
      </c>
      <c r="I481" s="47" t="s">
        <v>709</v>
      </c>
      <c r="J481" s="29"/>
      <c r="K481" s="1"/>
      <c r="L481" s="27"/>
      <c r="M481" s="27"/>
      <c r="N481" s="1"/>
      <c r="O481" s="45">
        <v>43523</v>
      </c>
      <c r="P481" s="1"/>
    </row>
    <row r="482" ht="26" spans="1:17">
      <c r="B482" s="1">
        <v>481</v>
      </c>
      <c r="C482" s="24" t="s">
        <v>1178</v>
      </c>
      <c r="D482" s="24" t="s">
        <v>1179</v>
      </c>
      <c r="E482" s="14"/>
      <c r="F482" s="24" t="s">
        <v>1176</v>
      </c>
      <c r="G482" s="46" t="s">
        <v>1180</v>
      </c>
      <c r="H482" s="47" t="s">
        <v>709</v>
      </c>
      <c r="I482" s="47" t="s">
        <v>709</v>
      </c>
      <c r="J482" s="29"/>
      <c r="K482" s="1"/>
      <c r="L482" s="27"/>
      <c r="M482" s="27"/>
      <c r="N482" s="1"/>
      <c r="O482" s="45">
        <v>43523</v>
      </c>
      <c r="P482" s="1"/>
    </row>
    <row r="483" ht="26" spans="1:17">
      <c r="B483" s="1">
        <v>482</v>
      </c>
      <c r="C483" s="24" t="s">
        <v>1181</v>
      </c>
      <c r="D483" s="24" t="s">
        <v>1182</v>
      </c>
      <c r="E483" s="25"/>
      <c r="F483" s="24" t="s">
        <v>401</v>
      </c>
      <c r="G483" s="46" t="s">
        <v>1183</v>
      </c>
      <c r="H483" s="47" t="s">
        <v>709</v>
      </c>
      <c r="I483" s="47" t="s">
        <v>709</v>
      </c>
      <c r="J483" s="29">
        <v>43160</v>
      </c>
      <c r="K483" s="1"/>
      <c r="L483" s="27"/>
      <c r="M483" s="27"/>
      <c r="N483" s="1"/>
      <c r="O483" s="45">
        <v>43523</v>
      </c>
      <c r="P483" s="1"/>
    </row>
    <row r="484" ht="26" spans="1:17">
      <c r="B484" s="1">
        <v>483</v>
      </c>
      <c r="C484" s="24" t="s">
        <v>1184</v>
      </c>
      <c r="D484" s="24" t="s">
        <v>1182</v>
      </c>
      <c r="E484" s="25"/>
      <c r="F484" s="24" t="s">
        <v>456</v>
      </c>
      <c r="G484" s="46" t="s">
        <v>1185</v>
      </c>
      <c r="H484" s="47" t="s">
        <v>709</v>
      </c>
      <c r="I484" s="47" t="s">
        <v>709</v>
      </c>
      <c r="J484" s="29">
        <v>43101</v>
      </c>
      <c r="K484" s="1"/>
      <c r="L484" s="27"/>
      <c r="M484" s="27"/>
      <c r="N484" s="1"/>
      <c r="O484" s="45">
        <v>43523</v>
      </c>
      <c r="P484" s="1"/>
    </row>
    <row r="485" ht="26" spans="1:17">
      <c r="B485" s="1">
        <v>484</v>
      </c>
      <c r="C485" s="24" t="s">
        <v>1186</v>
      </c>
      <c r="D485" s="24" t="s">
        <v>1187</v>
      </c>
      <c r="E485" s="25"/>
      <c r="F485" s="24" t="s">
        <v>401</v>
      </c>
      <c r="G485" s="46" t="s">
        <v>1185</v>
      </c>
      <c r="H485" s="47" t="s">
        <v>709</v>
      </c>
      <c r="I485" s="47" t="s">
        <v>709</v>
      </c>
      <c r="J485" s="29">
        <v>43160</v>
      </c>
      <c r="K485" s="1"/>
      <c r="L485" s="27"/>
      <c r="M485" s="27"/>
      <c r="N485" s="1"/>
      <c r="O485" s="45">
        <v>43523</v>
      </c>
      <c r="P485" s="1"/>
    </row>
    <row r="486" ht="26" spans="1:17">
      <c r="B486" s="1">
        <v>485</v>
      </c>
      <c r="C486" s="24" t="s">
        <v>1188</v>
      </c>
      <c r="D486" s="24" t="s">
        <v>1187</v>
      </c>
      <c r="E486" s="25"/>
      <c r="F486" s="24" t="s">
        <v>456</v>
      </c>
      <c r="G486" s="46" t="s">
        <v>1189</v>
      </c>
      <c r="H486" s="47" t="s">
        <v>709</v>
      </c>
      <c r="I486" s="47" t="s">
        <v>709</v>
      </c>
      <c r="J486" s="29">
        <v>43101</v>
      </c>
      <c r="K486" s="1"/>
      <c r="L486" s="27"/>
      <c r="M486" s="27"/>
      <c r="N486" s="1"/>
      <c r="O486" s="45">
        <v>43523</v>
      </c>
      <c r="P486" s="1"/>
    </row>
    <row r="487" ht="21" customHeight="1" spans="1:17">
      <c r="B487" s="1">
        <v>486</v>
      </c>
      <c r="C487" s="24" t="s">
        <v>1190</v>
      </c>
      <c r="D487" s="24" t="s">
        <v>921</v>
      </c>
      <c r="E487" s="25"/>
      <c r="F487" s="24" t="s">
        <v>931</v>
      </c>
      <c r="G487" s="46" t="s">
        <v>1191</v>
      </c>
      <c r="H487" s="47" t="s">
        <v>1192</v>
      </c>
      <c r="I487" s="47" t="s">
        <v>709</v>
      </c>
      <c r="J487" s="29">
        <v>43486</v>
      </c>
      <c r="K487" s="1"/>
      <c r="L487" s="27"/>
      <c r="M487" s="27"/>
      <c r="N487" s="1"/>
      <c r="O487" s="45">
        <v>43523</v>
      </c>
      <c r="P487" s="1"/>
    </row>
    <row r="488" ht="26" spans="1:17">
      <c r="B488" s="1">
        <v>487</v>
      </c>
      <c r="C488" s="24" t="s">
        <v>1193</v>
      </c>
      <c r="D488" s="24" t="s">
        <v>921</v>
      </c>
      <c r="E488" s="25"/>
      <c r="F488" s="24" t="s">
        <v>562</v>
      </c>
      <c r="G488" s="46" t="s">
        <v>1194</v>
      </c>
      <c r="H488" s="47" t="s">
        <v>1192</v>
      </c>
      <c r="I488" s="47" t="s">
        <v>709</v>
      </c>
      <c r="J488" s="29">
        <v>43070</v>
      </c>
      <c r="K488" s="1"/>
      <c r="L488" s="27"/>
      <c r="M488" s="27"/>
      <c r="N488" s="1"/>
      <c r="O488" s="45">
        <v>43523</v>
      </c>
      <c r="P488" s="1"/>
    </row>
    <row r="489" ht="26" spans="1:17">
      <c r="B489" s="1">
        <v>488</v>
      </c>
      <c r="C489" s="24" t="s">
        <v>1195</v>
      </c>
      <c r="D489" s="24" t="s">
        <v>921</v>
      </c>
      <c r="E489" s="25"/>
      <c r="F489" s="24" t="s">
        <v>931</v>
      </c>
      <c r="G489" s="46" t="s">
        <v>1196</v>
      </c>
      <c r="H489" s="47" t="s">
        <v>1192</v>
      </c>
      <c r="I489" s="47" t="s">
        <v>709</v>
      </c>
      <c r="J489" s="29">
        <v>43070</v>
      </c>
      <c r="K489" s="1"/>
      <c r="L489" s="27"/>
      <c r="M489" s="27"/>
      <c r="N489" s="1"/>
      <c r="O489" s="45">
        <v>43523</v>
      </c>
      <c r="P489" s="1"/>
    </row>
    <row r="490" ht="24.6" customHeight="1" spans="1:17">
      <c r="B490" s="1">
        <v>489</v>
      </c>
      <c r="C490" s="24" t="s">
        <v>1197</v>
      </c>
      <c r="D490" s="24" t="s">
        <v>1198</v>
      </c>
      <c r="E490" s="25"/>
      <c r="F490" s="24" t="s">
        <v>931</v>
      </c>
      <c r="G490" s="46" t="s">
        <v>1191</v>
      </c>
      <c r="H490" s="47" t="s">
        <v>1192</v>
      </c>
      <c r="I490" s="47" t="s">
        <v>709</v>
      </c>
      <c r="J490" s="29">
        <v>43435</v>
      </c>
      <c r="K490" s="1"/>
      <c r="L490" s="27"/>
      <c r="M490" s="27"/>
      <c r="N490" s="1"/>
      <c r="O490" s="45">
        <v>43523</v>
      </c>
      <c r="P490" s="1"/>
    </row>
    <row r="491" spans="1:17">
      <c r="B491" s="1">
        <v>490</v>
      </c>
      <c r="C491" s="24" t="s">
        <v>1199</v>
      </c>
      <c r="D491" s="24" t="s">
        <v>554</v>
      </c>
      <c r="E491" s="25"/>
      <c r="F491" s="24" t="s">
        <v>931</v>
      </c>
      <c r="G491" s="24"/>
      <c r="H491" s="1"/>
      <c r="I491" s="1"/>
      <c r="J491" s="29">
        <v>43726</v>
      </c>
      <c r="K491" s="1">
        <v>58.68</v>
      </c>
      <c r="L491" s="27"/>
      <c r="M491" s="27"/>
      <c r="N491" s="1"/>
      <c r="O491" s="45">
        <v>43735</v>
      </c>
      <c r="P491" s="1"/>
    </row>
    <row r="492" ht="26" spans="1:17">
      <c r="B492" s="1">
        <v>491</v>
      </c>
      <c r="C492" s="24" t="s">
        <v>1200</v>
      </c>
      <c r="D492" s="24" t="s">
        <v>1201</v>
      </c>
      <c r="E492" s="25"/>
      <c r="F492" s="24" t="s">
        <v>1202</v>
      </c>
      <c r="G492" s="46" t="s">
        <v>1203</v>
      </c>
      <c r="H492" s="47" t="s">
        <v>1204</v>
      </c>
      <c r="I492" s="47" t="s">
        <v>709</v>
      </c>
      <c r="J492" s="29">
        <v>43640</v>
      </c>
      <c r="K492" s="1">
        <v>19</v>
      </c>
      <c r="L492" s="27"/>
      <c r="M492" s="27"/>
      <c r="N492" s="1"/>
      <c r="O492" s="45">
        <v>43756</v>
      </c>
      <c r="P492" s="1"/>
    </row>
    <row r="493" spans="1:17">
      <c r="B493" s="1">
        <v>492</v>
      </c>
      <c r="C493" s="24" t="s">
        <v>1205</v>
      </c>
      <c r="D493" s="24" t="s">
        <v>1206</v>
      </c>
      <c r="E493" s="25"/>
      <c r="F493" s="24" t="s">
        <v>931</v>
      </c>
      <c r="G493" s="46" t="s">
        <v>1207</v>
      </c>
      <c r="H493" s="47" t="s">
        <v>709</v>
      </c>
      <c r="I493" s="47" t="s">
        <v>709</v>
      </c>
      <c r="J493" s="29">
        <v>43709</v>
      </c>
      <c r="K493" s="1">
        <v>48</v>
      </c>
      <c r="L493" s="27"/>
      <c r="M493" s="27"/>
      <c r="N493" s="1"/>
      <c r="O493" s="45">
        <v>43756</v>
      </c>
      <c r="P493" s="1"/>
    </row>
    <row r="494" spans="1:17">
      <c r="B494" s="1">
        <v>493</v>
      </c>
      <c r="C494" s="24" t="s">
        <v>1208</v>
      </c>
      <c r="D494" s="24" t="s">
        <v>1206</v>
      </c>
      <c r="E494" s="25"/>
      <c r="F494" s="24" t="s">
        <v>931</v>
      </c>
      <c r="G494" s="46" t="s">
        <v>1207</v>
      </c>
      <c r="H494" s="47" t="s">
        <v>709</v>
      </c>
      <c r="I494" s="47" t="s">
        <v>709</v>
      </c>
      <c r="J494" s="29">
        <v>43709</v>
      </c>
      <c r="K494" s="1">
        <v>48</v>
      </c>
      <c r="L494" s="27"/>
      <c r="M494" s="27"/>
      <c r="N494" s="1"/>
      <c r="O494" s="45">
        <v>43756</v>
      </c>
      <c r="P494" s="1"/>
    </row>
    <row r="495" s="2" customFormat="1" ht="26" spans="1:17">
      <c r="A495" s="5"/>
      <c r="B495" s="23">
        <v>494</v>
      </c>
      <c r="C495" s="14" t="s">
        <v>1209</v>
      </c>
      <c r="D495" s="14" t="s">
        <v>1210</v>
      </c>
      <c r="E495" s="14"/>
      <c r="F495" s="14" t="s">
        <v>1202</v>
      </c>
      <c r="G495" s="14"/>
      <c r="H495" s="23"/>
      <c r="I495" s="23"/>
      <c r="J495" s="26"/>
      <c r="K495" s="23">
        <v>40</v>
      </c>
      <c r="L495" s="27"/>
      <c r="M495" s="27"/>
      <c r="N495" s="23"/>
      <c r="O495" s="26">
        <v>43767</v>
      </c>
      <c r="P495" s="23"/>
      <c r="Q495" s="52"/>
    </row>
    <row r="496" ht="39" spans="1:17">
      <c r="B496" s="1">
        <v>495</v>
      </c>
      <c r="C496" s="24" t="s">
        <v>1211</v>
      </c>
      <c r="D496" s="24" t="s">
        <v>1212</v>
      </c>
      <c r="E496" s="25"/>
      <c r="F496" s="24" t="s">
        <v>1213</v>
      </c>
      <c r="G496" s="46" t="s">
        <v>1214</v>
      </c>
      <c r="H496" s="47" t="s">
        <v>709</v>
      </c>
      <c r="I496" s="47" t="s">
        <v>709</v>
      </c>
      <c r="J496" s="29">
        <v>43709</v>
      </c>
      <c r="K496" s="1">
        <v>292</v>
      </c>
      <c r="L496" s="27"/>
      <c r="M496" s="27"/>
      <c r="N496" s="1"/>
      <c r="O496" s="45">
        <v>43767</v>
      </c>
      <c r="P496" s="1"/>
    </row>
    <row r="497" ht="26" spans="2:16">
      <c r="B497" s="1">
        <v>496</v>
      </c>
      <c r="C497" s="24" t="s">
        <v>1215</v>
      </c>
      <c r="D497" s="24" t="s">
        <v>1216</v>
      </c>
      <c r="E497" s="25"/>
      <c r="F497" s="24" t="s">
        <v>1217</v>
      </c>
      <c r="G497" s="24"/>
      <c r="H497" s="1"/>
      <c r="I497" s="1"/>
      <c r="J497" s="29">
        <v>43538</v>
      </c>
      <c r="K497" s="1">
        <v>17</v>
      </c>
      <c r="L497" s="27"/>
      <c r="M497" s="27"/>
      <c r="N497" s="1"/>
      <c r="O497" s="45">
        <v>43773</v>
      </c>
      <c r="P497" s="1"/>
    </row>
    <row r="498" ht="26" spans="2:16">
      <c r="B498" s="1">
        <v>497</v>
      </c>
      <c r="C498" s="24" t="s">
        <v>1218</v>
      </c>
      <c r="D498" s="24" t="s">
        <v>1219</v>
      </c>
      <c r="E498" s="25"/>
      <c r="F498" s="24" t="s">
        <v>1220</v>
      </c>
      <c r="G498" s="46" t="s">
        <v>1221</v>
      </c>
      <c r="H498" s="47" t="s">
        <v>884</v>
      </c>
      <c r="I498" s="47" t="s">
        <v>709</v>
      </c>
      <c r="J498" s="29">
        <v>43709</v>
      </c>
      <c r="K498" s="1"/>
      <c r="L498" s="27"/>
      <c r="M498" s="27"/>
      <c r="N498" s="1"/>
      <c r="O498" s="45">
        <v>43781</v>
      </c>
      <c r="P498" s="1"/>
    </row>
    <row r="499" ht="26" spans="2:16">
      <c r="B499" s="1">
        <v>498</v>
      </c>
      <c r="C499" s="24" t="s">
        <v>1222</v>
      </c>
      <c r="D499" s="24" t="s">
        <v>1223</v>
      </c>
      <c r="E499" s="25"/>
      <c r="F499" s="24" t="s">
        <v>1224</v>
      </c>
      <c r="G499" s="46" t="s">
        <v>1225</v>
      </c>
      <c r="H499" s="47" t="s">
        <v>708</v>
      </c>
      <c r="I499" s="47" t="s">
        <v>709</v>
      </c>
      <c r="J499" s="29">
        <v>42552</v>
      </c>
      <c r="K499" s="1"/>
      <c r="L499" s="27"/>
      <c r="M499" s="27"/>
      <c r="N499" s="1"/>
      <c r="O499" s="45">
        <v>43781</v>
      </c>
      <c r="P499" s="1"/>
    </row>
    <row r="500" ht="52" spans="2:16">
      <c r="B500" s="1">
        <v>499</v>
      </c>
      <c r="C500" s="24" t="s">
        <v>1226</v>
      </c>
      <c r="D500" s="24" t="s">
        <v>1212</v>
      </c>
      <c r="E500" s="25"/>
      <c r="F500" s="24" t="s">
        <v>1227</v>
      </c>
      <c r="G500" s="46" t="s">
        <v>1228</v>
      </c>
      <c r="H500" s="47" t="s">
        <v>1229</v>
      </c>
      <c r="I500" s="47" t="s">
        <v>1230</v>
      </c>
      <c r="J500" s="29">
        <v>43746</v>
      </c>
      <c r="K500" s="1">
        <v>172</v>
      </c>
      <c r="L500" s="27"/>
      <c r="M500" s="27"/>
      <c r="N500" s="1"/>
      <c r="O500" s="45">
        <v>43784</v>
      </c>
      <c r="P500" s="1"/>
    </row>
    <row r="501" ht="26" spans="2:16">
      <c r="B501" s="1">
        <v>500</v>
      </c>
      <c r="C501" s="24" t="s">
        <v>1231</v>
      </c>
      <c r="D501" s="24" t="s">
        <v>485</v>
      </c>
      <c r="E501" s="25"/>
      <c r="F501" s="24" t="s">
        <v>931</v>
      </c>
      <c r="G501" s="46" t="s">
        <v>1232</v>
      </c>
      <c r="H501" s="47" t="s">
        <v>1233</v>
      </c>
      <c r="I501" s="47" t="s">
        <v>709</v>
      </c>
      <c r="J501" s="29">
        <v>43070</v>
      </c>
      <c r="K501" s="1">
        <v>5</v>
      </c>
      <c r="L501" s="27"/>
      <c r="M501" s="27"/>
      <c r="N501" s="1"/>
      <c r="O501" s="45">
        <v>43794</v>
      </c>
      <c r="P501" s="1"/>
    </row>
    <row r="502" spans="2:16">
      <c r="B502" s="1">
        <v>501</v>
      </c>
      <c r="C502" s="24" t="s">
        <v>1234</v>
      </c>
      <c r="D502" s="24" t="s">
        <v>485</v>
      </c>
      <c r="E502" s="25"/>
      <c r="F502" s="24" t="s">
        <v>931</v>
      </c>
      <c r="G502" s="46" t="s">
        <v>1235</v>
      </c>
      <c r="H502" s="47" t="s">
        <v>1233</v>
      </c>
      <c r="I502" s="47" t="s">
        <v>709</v>
      </c>
      <c r="J502" s="29">
        <v>43102</v>
      </c>
      <c r="K502" s="1"/>
      <c r="L502" s="27"/>
      <c r="M502" s="27"/>
      <c r="N502" s="1"/>
      <c r="O502" s="45">
        <v>43794</v>
      </c>
      <c r="P502" s="1"/>
    </row>
    <row r="503" spans="2:16">
      <c r="B503" s="1">
        <v>502</v>
      </c>
      <c r="C503" s="24" t="s">
        <v>1236</v>
      </c>
      <c r="D503" s="24" t="s">
        <v>485</v>
      </c>
      <c r="E503" s="25"/>
      <c r="F503" s="24" t="s">
        <v>365</v>
      </c>
      <c r="G503" s="46" t="s">
        <v>1237</v>
      </c>
      <c r="H503" s="47" t="s">
        <v>1233</v>
      </c>
      <c r="I503" s="47" t="s">
        <v>709</v>
      </c>
      <c r="J503" s="29">
        <v>43165</v>
      </c>
      <c r="K503" s="1"/>
      <c r="L503" s="27"/>
      <c r="M503" s="27"/>
      <c r="N503" s="1"/>
      <c r="O503" s="45">
        <v>43794</v>
      </c>
      <c r="P503" s="1"/>
    </row>
    <row r="504" ht="26" spans="2:16">
      <c r="B504" s="1">
        <v>503</v>
      </c>
      <c r="C504" s="24" t="s">
        <v>1238</v>
      </c>
      <c r="D504" s="24" t="s">
        <v>485</v>
      </c>
      <c r="E504" s="25"/>
      <c r="F504" s="24" t="s">
        <v>931</v>
      </c>
      <c r="G504" s="46" t="s">
        <v>1239</v>
      </c>
      <c r="H504" s="47" t="s">
        <v>1233</v>
      </c>
      <c r="I504" s="47" t="s">
        <v>709</v>
      </c>
      <c r="J504" s="29">
        <v>43242</v>
      </c>
      <c r="K504" s="1">
        <v>5</v>
      </c>
      <c r="L504" s="27"/>
      <c r="M504" s="27"/>
      <c r="N504" s="1"/>
      <c r="O504" s="45">
        <v>43794</v>
      </c>
      <c r="P504" s="1"/>
    </row>
    <row r="505" spans="2:16">
      <c r="B505" s="1">
        <v>504</v>
      </c>
      <c r="C505" s="24" t="s">
        <v>1240</v>
      </c>
      <c r="D505" s="24" t="s">
        <v>485</v>
      </c>
      <c r="E505" s="25"/>
      <c r="F505" s="24" t="s">
        <v>365</v>
      </c>
      <c r="G505" s="46" t="s">
        <v>1241</v>
      </c>
      <c r="H505" s="47" t="s">
        <v>709</v>
      </c>
      <c r="I505" s="47" t="s">
        <v>709</v>
      </c>
      <c r="J505" s="29">
        <v>43621</v>
      </c>
      <c r="K505" s="1"/>
      <c r="L505" s="27"/>
      <c r="M505" s="27"/>
      <c r="N505" s="1"/>
      <c r="O505" s="45">
        <v>43794</v>
      </c>
      <c r="P505" s="1"/>
    </row>
    <row r="506" ht="26" spans="2:16">
      <c r="B506" s="1">
        <v>505</v>
      </c>
      <c r="C506" s="24" t="s">
        <v>1242</v>
      </c>
      <c r="D506" s="24" t="s">
        <v>485</v>
      </c>
      <c r="E506" s="25"/>
      <c r="F506" s="24" t="s">
        <v>401</v>
      </c>
      <c r="G506" s="46" t="s">
        <v>1243</v>
      </c>
      <c r="H506" s="47" t="s">
        <v>709</v>
      </c>
      <c r="I506" s="47" t="s">
        <v>709</v>
      </c>
      <c r="J506" s="29">
        <v>43621</v>
      </c>
      <c r="K506" s="1"/>
      <c r="L506" s="27"/>
      <c r="M506" s="27"/>
      <c r="N506" s="1"/>
      <c r="O506" s="45">
        <v>43794</v>
      </c>
      <c r="P506" s="1"/>
    </row>
    <row r="507" ht="15" spans="2:16">
      <c r="B507" s="1">
        <v>506</v>
      </c>
      <c r="C507" s="48" t="s">
        <v>1244</v>
      </c>
      <c r="D507" s="48" t="s">
        <v>546</v>
      </c>
      <c r="E507" s="49"/>
      <c r="F507" s="24" t="s">
        <v>361</v>
      </c>
      <c r="G507" s="24"/>
      <c r="H507" s="1"/>
      <c r="I507" s="1"/>
      <c r="J507" s="50">
        <v>43525</v>
      </c>
      <c r="K507" s="23">
        <v>9</v>
      </c>
      <c r="L507" s="27"/>
      <c r="M507" s="27"/>
      <c r="N507" s="1"/>
      <c r="O507" s="45">
        <v>43812</v>
      </c>
      <c r="P507" s="1"/>
    </row>
    <row r="508" ht="30" spans="2:16">
      <c r="B508" s="1">
        <v>507</v>
      </c>
      <c r="C508" s="48" t="s">
        <v>1245</v>
      </c>
      <c r="D508" s="48" t="s">
        <v>546</v>
      </c>
      <c r="E508" s="49"/>
      <c r="F508" s="24" t="s">
        <v>361</v>
      </c>
      <c r="G508" s="24"/>
      <c r="H508" s="1"/>
      <c r="I508" s="1"/>
      <c r="J508" s="50">
        <v>43511</v>
      </c>
      <c r="K508" s="23">
        <v>2.4</v>
      </c>
      <c r="L508" s="27"/>
      <c r="M508" s="27"/>
      <c r="N508" s="1"/>
      <c r="O508" s="45">
        <v>43812</v>
      </c>
      <c r="P508" s="1"/>
    </row>
    <row r="509" ht="26" spans="2:16">
      <c r="B509" s="1">
        <v>508</v>
      </c>
      <c r="C509" s="24" t="s">
        <v>1246</v>
      </c>
      <c r="D509" s="24" t="s">
        <v>1247</v>
      </c>
      <c r="E509" s="25"/>
      <c r="F509" s="24" t="s">
        <v>693</v>
      </c>
      <c r="G509" s="46" t="s">
        <v>1248</v>
      </c>
      <c r="H509" s="47" t="s">
        <v>884</v>
      </c>
      <c r="I509" s="47" t="s">
        <v>1249</v>
      </c>
      <c r="J509" s="29">
        <v>43691</v>
      </c>
      <c r="K509" s="1"/>
      <c r="L509" s="27"/>
      <c r="M509" s="27"/>
      <c r="N509" s="1"/>
      <c r="O509" s="45">
        <v>43823</v>
      </c>
      <c r="P509" s="1"/>
    </row>
    <row r="510" ht="26" spans="2:16">
      <c r="B510" s="1">
        <v>509</v>
      </c>
      <c r="C510" s="24" t="s">
        <v>1250</v>
      </c>
      <c r="D510" s="24" t="s">
        <v>546</v>
      </c>
      <c r="E510" s="25"/>
      <c r="F510" s="24" t="s">
        <v>361</v>
      </c>
      <c r="G510" s="24"/>
      <c r="H510" s="1"/>
      <c r="I510" s="1"/>
      <c r="J510" s="29">
        <v>43631</v>
      </c>
      <c r="K510" s="1">
        <v>2.9174</v>
      </c>
      <c r="L510" s="27"/>
      <c r="M510" s="27"/>
      <c r="N510" s="1"/>
      <c r="O510" s="45">
        <v>43833</v>
      </c>
      <c r="P510" s="1"/>
    </row>
    <row r="511" spans="2:16">
      <c r="B511" s="1">
        <v>510</v>
      </c>
      <c r="C511" s="24" t="s">
        <v>1251</v>
      </c>
      <c r="D511" s="24" t="s">
        <v>546</v>
      </c>
      <c r="E511" s="25"/>
      <c r="F511" s="24" t="s">
        <v>361</v>
      </c>
      <c r="G511" s="24"/>
      <c r="H511" s="1"/>
      <c r="I511" s="1"/>
      <c r="J511" s="29">
        <v>43631</v>
      </c>
      <c r="K511" s="1">
        <v>4.7589</v>
      </c>
      <c r="L511" s="27"/>
      <c r="M511" s="27"/>
      <c r="N511" s="1"/>
      <c r="O511" s="45">
        <v>43833</v>
      </c>
      <c r="P511" s="1"/>
    </row>
    <row r="512" ht="26" spans="2:16">
      <c r="B512" s="1">
        <v>511</v>
      </c>
      <c r="C512" s="24" t="s">
        <v>1252</v>
      </c>
      <c r="D512" s="24" t="s">
        <v>1253</v>
      </c>
      <c r="E512" s="25"/>
      <c r="F512" s="24" t="s">
        <v>1254</v>
      </c>
      <c r="G512" s="46" t="s">
        <v>1255</v>
      </c>
      <c r="H512" s="47" t="s">
        <v>709</v>
      </c>
      <c r="I512" s="47" t="s">
        <v>709</v>
      </c>
      <c r="J512" s="29">
        <v>43661</v>
      </c>
      <c r="K512" s="1">
        <v>64.8</v>
      </c>
      <c r="L512" s="27"/>
      <c r="M512" s="27"/>
      <c r="N512" s="1"/>
      <c r="O512" s="45">
        <v>43833</v>
      </c>
      <c r="P512" s="1"/>
    </row>
    <row r="513" ht="26" spans="2:16">
      <c r="B513" s="1">
        <v>512</v>
      </c>
      <c r="C513" s="24" t="s">
        <v>1256</v>
      </c>
      <c r="D513" s="24" t="s">
        <v>1069</v>
      </c>
      <c r="E513" s="25"/>
      <c r="F513" s="24" t="s">
        <v>417</v>
      </c>
      <c r="G513" s="46" t="s">
        <v>1257</v>
      </c>
      <c r="H513" s="47" t="s">
        <v>721</v>
      </c>
      <c r="I513" s="47" t="s">
        <v>709</v>
      </c>
      <c r="J513" s="29">
        <v>43678</v>
      </c>
      <c r="K513" s="1">
        <v>1.98</v>
      </c>
      <c r="L513" s="27"/>
      <c r="M513" s="27"/>
      <c r="N513" s="1"/>
      <c r="O513" s="45">
        <v>43833</v>
      </c>
      <c r="P513" s="1"/>
    </row>
    <row r="514" spans="2:16">
      <c r="B514" s="1">
        <v>513</v>
      </c>
      <c r="C514" s="24" t="s">
        <v>1258</v>
      </c>
      <c r="D514" s="24" t="s">
        <v>1069</v>
      </c>
      <c r="E514" s="25"/>
      <c r="F514" s="24" t="s">
        <v>456</v>
      </c>
      <c r="G514" s="46" t="s">
        <v>1259</v>
      </c>
      <c r="H514" s="47" t="s">
        <v>721</v>
      </c>
      <c r="I514" s="47" t="s">
        <v>709</v>
      </c>
      <c r="J514" s="29">
        <v>43678</v>
      </c>
      <c r="K514" s="1">
        <v>2.268</v>
      </c>
      <c r="L514" s="27"/>
      <c r="M514" s="27"/>
      <c r="N514" s="1"/>
      <c r="O514" s="45">
        <v>43833</v>
      </c>
      <c r="P514" s="1"/>
    </row>
    <row r="515" ht="26" spans="2:16">
      <c r="B515" s="1">
        <v>514</v>
      </c>
      <c r="C515" s="24" t="s">
        <v>1260</v>
      </c>
      <c r="D515" s="24" t="s">
        <v>1069</v>
      </c>
      <c r="E515" s="25"/>
      <c r="F515" s="24" t="s">
        <v>417</v>
      </c>
      <c r="G515" s="46" t="s">
        <v>1261</v>
      </c>
      <c r="H515" s="47" t="s">
        <v>721</v>
      </c>
      <c r="I515" s="47" t="s">
        <v>709</v>
      </c>
      <c r="J515" s="29">
        <v>43678</v>
      </c>
      <c r="K515" s="1">
        <v>1.47</v>
      </c>
      <c r="L515" s="27"/>
      <c r="M515" s="27"/>
      <c r="N515" s="1"/>
      <c r="O515" s="45">
        <v>43833</v>
      </c>
      <c r="P515" s="1"/>
    </row>
    <row r="516" ht="26" spans="2:16">
      <c r="B516" s="1">
        <v>515</v>
      </c>
      <c r="C516" s="24" t="s">
        <v>1262</v>
      </c>
      <c r="D516" s="24" t="s">
        <v>1263</v>
      </c>
      <c r="E516" s="25"/>
      <c r="F516" s="24" t="s">
        <v>1264</v>
      </c>
      <c r="G516" s="46" t="s">
        <v>1265</v>
      </c>
      <c r="H516" s="47" t="s">
        <v>884</v>
      </c>
      <c r="I516" s="47" t="s">
        <v>709</v>
      </c>
      <c r="J516" s="29">
        <v>43291</v>
      </c>
      <c r="K516" s="1">
        <v>42</v>
      </c>
      <c r="L516" s="27"/>
      <c r="M516" s="27"/>
      <c r="N516" s="1"/>
      <c r="O516" s="45">
        <v>43840</v>
      </c>
      <c r="P516" s="1"/>
    </row>
    <row r="517" ht="26" spans="2:16">
      <c r="B517" s="1">
        <v>516</v>
      </c>
      <c r="C517" s="24" t="s">
        <v>1266</v>
      </c>
      <c r="D517" s="24" t="s">
        <v>1082</v>
      </c>
      <c r="E517" s="25"/>
      <c r="F517" s="24" t="s">
        <v>367</v>
      </c>
      <c r="G517" s="46" t="s">
        <v>1108</v>
      </c>
      <c r="H517" s="47" t="s">
        <v>1104</v>
      </c>
      <c r="I517" s="47" t="s">
        <v>709</v>
      </c>
      <c r="J517" s="29">
        <v>43556</v>
      </c>
      <c r="K517" s="1"/>
      <c r="L517" s="27"/>
      <c r="M517" s="27"/>
      <c r="N517" s="1"/>
      <c r="O517" s="45">
        <v>43844</v>
      </c>
      <c r="P517" s="1"/>
    </row>
    <row r="518" spans="2:16">
      <c r="B518" s="1">
        <v>517</v>
      </c>
      <c r="C518" s="24" t="s">
        <v>1267</v>
      </c>
      <c r="D518" s="24" t="s">
        <v>919</v>
      </c>
      <c r="E518" s="14"/>
      <c r="F518" s="24" t="s">
        <v>1268</v>
      </c>
      <c r="G518" s="24"/>
      <c r="H518" s="1"/>
      <c r="I518" s="1"/>
      <c r="J518" s="29">
        <v>43944</v>
      </c>
      <c r="K518" s="1">
        <v>2.7</v>
      </c>
      <c r="L518" s="27"/>
      <c r="M518" s="27"/>
      <c r="N518" s="1"/>
      <c r="O518" s="45">
        <v>43944</v>
      </c>
      <c r="P518" s="1"/>
    </row>
    <row r="519" spans="2:16">
      <c r="B519" s="1">
        <v>518</v>
      </c>
      <c r="C519" s="24" t="s">
        <v>1269</v>
      </c>
      <c r="D519" s="24" t="s">
        <v>1270</v>
      </c>
      <c r="E519" s="14"/>
      <c r="F519" s="24" t="s">
        <v>1271</v>
      </c>
      <c r="G519" s="24"/>
      <c r="H519" s="1"/>
      <c r="I519" s="1"/>
      <c r="J519" s="29">
        <v>43832</v>
      </c>
      <c r="K519" s="1">
        <v>6</v>
      </c>
      <c r="L519" s="27"/>
      <c r="M519" s="27"/>
      <c r="N519" s="1"/>
      <c r="O519" s="45">
        <v>43957</v>
      </c>
      <c r="P519" s="1"/>
    </row>
    <row r="520" ht="26" spans="2:16">
      <c r="B520" s="1">
        <v>519</v>
      </c>
      <c r="C520" s="24" t="s">
        <v>1272</v>
      </c>
      <c r="D520" s="24" t="s">
        <v>536</v>
      </c>
      <c r="E520" s="25"/>
      <c r="F520" s="24" t="s">
        <v>1273</v>
      </c>
      <c r="G520" s="46" t="s">
        <v>1274</v>
      </c>
      <c r="H520" s="47" t="s">
        <v>709</v>
      </c>
      <c r="I520" s="47" t="s">
        <v>709</v>
      </c>
      <c r="J520" s="29">
        <v>43753</v>
      </c>
      <c r="K520" s="1">
        <v>8</v>
      </c>
      <c r="L520" s="27"/>
      <c r="M520" s="27"/>
      <c r="N520" s="1"/>
      <c r="O520" s="45">
        <v>43958</v>
      </c>
      <c r="P520" s="1"/>
    </row>
    <row r="521" spans="2:16">
      <c r="B521" s="1">
        <v>520</v>
      </c>
      <c r="C521" s="24" t="s">
        <v>1275</v>
      </c>
      <c r="D521" s="24" t="s">
        <v>1276</v>
      </c>
      <c r="E521" s="25"/>
      <c r="F521" s="24" t="s">
        <v>361</v>
      </c>
      <c r="G521" s="24"/>
      <c r="H521" s="1"/>
      <c r="I521" s="1"/>
      <c r="J521" s="29">
        <v>43829</v>
      </c>
      <c r="K521" s="1">
        <v>86.3282</v>
      </c>
      <c r="L521" s="27"/>
      <c r="M521" s="27"/>
      <c r="N521" s="1"/>
      <c r="O521" s="45">
        <v>43959</v>
      </c>
      <c r="P521" s="1"/>
    </row>
    <row r="522" ht="26" spans="2:16">
      <c r="B522" s="1">
        <v>521</v>
      </c>
      <c r="C522" s="24" t="s">
        <v>1277</v>
      </c>
      <c r="D522" s="24" t="s">
        <v>674</v>
      </c>
      <c r="E522" s="25"/>
      <c r="F522" s="24" t="s">
        <v>361</v>
      </c>
      <c r="G522" s="24"/>
      <c r="H522" s="1"/>
      <c r="I522" s="1"/>
      <c r="J522" s="29">
        <v>43829</v>
      </c>
      <c r="K522" s="1">
        <v>19.2208</v>
      </c>
      <c r="L522" s="27"/>
      <c r="M522" s="27"/>
      <c r="N522" s="1"/>
      <c r="O522" s="45">
        <v>43959</v>
      </c>
      <c r="P522" s="1"/>
    </row>
    <row r="523" ht="26" spans="2:16">
      <c r="B523" s="1">
        <v>522</v>
      </c>
      <c r="C523" s="24" t="s">
        <v>1278</v>
      </c>
      <c r="D523" s="24" t="s">
        <v>674</v>
      </c>
      <c r="E523" s="25"/>
      <c r="F523" s="24" t="s">
        <v>361</v>
      </c>
      <c r="G523" s="24"/>
      <c r="H523" s="1"/>
      <c r="I523" s="1"/>
      <c r="J523" s="29">
        <v>43829</v>
      </c>
      <c r="K523" s="1">
        <v>1.5692</v>
      </c>
      <c r="L523" s="27"/>
      <c r="M523" s="27"/>
      <c r="N523" s="1"/>
      <c r="O523" s="45">
        <v>43959</v>
      </c>
      <c r="P523" s="1"/>
    </row>
    <row r="524" ht="26" spans="2:16">
      <c r="B524" s="1">
        <v>523</v>
      </c>
      <c r="C524" s="24" t="s">
        <v>1279</v>
      </c>
      <c r="D524" s="24" t="s">
        <v>674</v>
      </c>
      <c r="E524" s="25"/>
      <c r="F524" s="24" t="s">
        <v>361</v>
      </c>
      <c r="G524" s="24"/>
      <c r="H524" s="1"/>
      <c r="I524" s="1"/>
      <c r="J524" s="29">
        <v>43829</v>
      </c>
      <c r="K524" s="1">
        <v>0.5</v>
      </c>
      <c r="L524" s="27"/>
      <c r="M524" s="27"/>
      <c r="N524" s="1"/>
      <c r="O524" s="45">
        <v>43959</v>
      </c>
      <c r="P524" s="1"/>
    </row>
    <row r="525" ht="39" spans="2:16">
      <c r="B525" s="1">
        <v>524</v>
      </c>
      <c r="C525" s="24" t="s">
        <v>1280</v>
      </c>
      <c r="D525" s="24" t="s">
        <v>1281</v>
      </c>
      <c r="E525" s="25"/>
      <c r="F525" s="24" t="s">
        <v>1125</v>
      </c>
      <c r="G525" s="46" t="s">
        <v>1282</v>
      </c>
      <c r="H525" s="47" t="s">
        <v>708</v>
      </c>
      <c r="I525" s="47" t="s">
        <v>709</v>
      </c>
      <c r="J525" s="29">
        <v>43756</v>
      </c>
      <c r="K525" s="1">
        <v>29.8</v>
      </c>
      <c r="L525" s="27"/>
      <c r="M525" s="27"/>
      <c r="N525" s="1"/>
      <c r="O525" s="45">
        <v>43976</v>
      </c>
      <c r="P525" s="1"/>
    </row>
    <row r="526" spans="2:16">
      <c r="B526" s="1">
        <v>525</v>
      </c>
      <c r="C526" s="24" t="s">
        <v>1283</v>
      </c>
      <c r="D526" s="24" t="s">
        <v>485</v>
      </c>
      <c r="E526" s="25"/>
      <c r="F526" s="24" t="s">
        <v>365</v>
      </c>
      <c r="G526" s="46" t="s">
        <v>1284</v>
      </c>
      <c r="H526" s="47" t="s">
        <v>709</v>
      </c>
      <c r="I526" s="47" t="s">
        <v>709</v>
      </c>
      <c r="J526" s="29">
        <v>43721</v>
      </c>
      <c r="K526" s="1"/>
      <c r="L526" s="27"/>
      <c r="M526" s="27"/>
      <c r="N526" s="1"/>
      <c r="O526" s="45">
        <v>43985</v>
      </c>
      <c r="P526" s="1"/>
    </row>
    <row r="527" ht="26" spans="2:16">
      <c r="B527" s="1">
        <v>526</v>
      </c>
      <c r="C527" s="24" t="s">
        <v>1285</v>
      </c>
      <c r="D527" s="24" t="s">
        <v>1286</v>
      </c>
      <c r="E527" s="25"/>
      <c r="F527" s="24" t="s">
        <v>1287</v>
      </c>
      <c r="G527" s="33" t="s">
        <v>1288</v>
      </c>
      <c r="H527" s="47" t="s">
        <v>709</v>
      </c>
      <c r="I527" s="47" t="s">
        <v>709</v>
      </c>
      <c r="J527" s="29">
        <v>43620</v>
      </c>
      <c r="K527" s="1">
        <v>1.0318</v>
      </c>
      <c r="L527" s="27"/>
      <c r="M527" s="27"/>
      <c r="N527" s="1"/>
      <c r="O527" s="45">
        <v>44001</v>
      </c>
      <c r="P527" s="1"/>
    </row>
    <row r="528" ht="26" spans="2:16">
      <c r="B528" s="1">
        <v>527</v>
      </c>
      <c r="C528" s="24" t="s">
        <v>1289</v>
      </c>
      <c r="D528" s="24" t="s">
        <v>1286</v>
      </c>
      <c r="E528" s="25"/>
      <c r="F528" s="24" t="s">
        <v>1290</v>
      </c>
      <c r="G528" s="33" t="s">
        <v>1288</v>
      </c>
      <c r="H528" s="47" t="s">
        <v>709</v>
      </c>
      <c r="I528" s="47" t="s">
        <v>709</v>
      </c>
      <c r="J528" s="29">
        <v>43620</v>
      </c>
      <c r="K528" s="1">
        <v>0.048</v>
      </c>
      <c r="L528" s="27"/>
      <c r="M528" s="27"/>
      <c r="N528" s="1"/>
      <c r="O528" s="45">
        <v>44001</v>
      </c>
      <c r="P528" s="1"/>
    </row>
    <row r="529" ht="26" spans="1:17">
      <c r="B529" s="1">
        <v>528</v>
      </c>
      <c r="C529" s="24" t="s">
        <v>1291</v>
      </c>
      <c r="D529" s="24" t="s">
        <v>1286</v>
      </c>
      <c r="E529" s="25"/>
      <c r="F529" s="24" t="s">
        <v>1292</v>
      </c>
      <c r="G529" s="33" t="s">
        <v>1288</v>
      </c>
      <c r="H529" s="47" t="s">
        <v>709</v>
      </c>
      <c r="I529" s="47" t="s">
        <v>709</v>
      </c>
      <c r="J529" s="29">
        <v>43640</v>
      </c>
      <c r="K529" s="1">
        <v>0.5877</v>
      </c>
      <c r="L529" s="27"/>
      <c r="M529" s="27"/>
      <c r="N529" s="1"/>
      <c r="O529" s="45">
        <v>44001</v>
      </c>
      <c r="P529" s="1"/>
    </row>
    <row r="530" ht="26" spans="1:17">
      <c r="B530" s="1">
        <v>529</v>
      </c>
      <c r="C530" s="24" t="s">
        <v>1293</v>
      </c>
      <c r="D530" s="24" t="s">
        <v>485</v>
      </c>
      <c r="E530" s="25"/>
      <c r="F530" s="24" t="s">
        <v>401</v>
      </c>
      <c r="G530" s="46" t="s">
        <v>1294</v>
      </c>
      <c r="H530" s="47" t="s">
        <v>709</v>
      </c>
      <c r="I530" s="47" t="s">
        <v>709</v>
      </c>
      <c r="J530" s="29">
        <v>43801</v>
      </c>
      <c r="K530" s="1"/>
      <c r="L530" s="27"/>
      <c r="M530" s="27"/>
      <c r="N530" s="1"/>
      <c r="O530" s="45">
        <v>44001</v>
      </c>
      <c r="P530" s="1"/>
    </row>
    <row r="531" ht="26" spans="1:17">
      <c r="B531" s="1">
        <v>530</v>
      </c>
      <c r="C531" s="24" t="s">
        <v>1295</v>
      </c>
      <c r="D531" s="24" t="s">
        <v>1296</v>
      </c>
      <c r="E531" s="25"/>
      <c r="F531" s="24" t="s">
        <v>365</v>
      </c>
      <c r="G531" s="46" t="s">
        <v>1294</v>
      </c>
      <c r="H531" s="47" t="s">
        <v>1297</v>
      </c>
      <c r="I531" s="47" t="s">
        <v>709</v>
      </c>
      <c r="J531" s="29">
        <v>43809</v>
      </c>
      <c r="K531" s="1">
        <v>95.16</v>
      </c>
      <c r="L531" s="27"/>
      <c r="M531" s="27"/>
      <c r="N531" s="1"/>
      <c r="O531" s="45">
        <v>44001</v>
      </c>
      <c r="P531" s="1"/>
    </row>
    <row r="532" spans="1:17">
      <c r="B532" s="1">
        <v>531</v>
      </c>
      <c r="C532" s="24" t="s">
        <v>1298</v>
      </c>
      <c r="D532" s="24" t="s">
        <v>1296</v>
      </c>
      <c r="E532" s="25"/>
      <c r="F532" s="24" t="s">
        <v>401</v>
      </c>
      <c r="G532" s="46" t="s">
        <v>1294</v>
      </c>
      <c r="H532" s="47" t="s">
        <v>1297</v>
      </c>
      <c r="I532" s="47" t="s">
        <v>709</v>
      </c>
      <c r="J532" s="29">
        <v>43789</v>
      </c>
      <c r="K532" s="1">
        <v>20.14</v>
      </c>
      <c r="L532" s="27"/>
      <c r="M532" s="27"/>
      <c r="N532" s="1"/>
      <c r="O532" s="45">
        <v>44001</v>
      </c>
      <c r="P532" s="1"/>
    </row>
    <row r="533" ht="26" spans="1:17">
      <c r="B533" s="1">
        <v>532</v>
      </c>
      <c r="C533" s="24" t="s">
        <v>1299</v>
      </c>
      <c r="D533" s="24" t="s">
        <v>1300</v>
      </c>
      <c r="E533" s="25"/>
      <c r="F533" s="24" t="s">
        <v>395</v>
      </c>
      <c r="G533" s="46" t="s">
        <v>1294</v>
      </c>
      <c r="H533" s="47" t="s">
        <v>708</v>
      </c>
      <c r="I533" s="53" t="s">
        <v>1301</v>
      </c>
      <c r="J533" s="29">
        <v>43630</v>
      </c>
      <c r="K533" s="1"/>
      <c r="L533" s="27"/>
      <c r="M533" s="27"/>
      <c r="N533" s="1"/>
      <c r="O533" s="45">
        <v>44001</v>
      </c>
      <c r="P533" s="1"/>
    </row>
    <row r="534" ht="26" spans="1:17">
      <c r="B534" s="1">
        <v>533</v>
      </c>
      <c r="C534" s="24" t="s">
        <v>1302</v>
      </c>
      <c r="D534" s="24" t="s">
        <v>536</v>
      </c>
      <c r="E534" s="25"/>
      <c r="F534" s="24" t="s">
        <v>1273</v>
      </c>
      <c r="G534" s="46" t="s">
        <v>1303</v>
      </c>
      <c r="H534" s="47" t="s">
        <v>709</v>
      </c>
      <c r="I534" s="47" t="s">
        <v>709</v>
      </c>
      <c r="J534" s="29">
        <v>43789</v>
      </c>
      <c r="K534" s="1">
        <v>4</v>
      </c>
      <c r="L534" s="27"/>
      <c r="M534" s="27"/>
      <c r="N534" s="1"/>
      <c r="O534" s="45">
        <v>44001</v>
      </c>
      <c r="P534" s="1"/>
    </row>
    <row r="535" ht="15" spans="1:17">
      <c r="B535" s="1">
        <v>534</v>
      </c>
      <c r="C535" s="24" t="s">
        <v>1304</v>
      </c>
      <c r="D535" s="24" t="s">
        <v>1305</v>
      </c>
      <c r="E535" s="54">
        <v>704800</v>
      </c>
      <c r="F535" s="24" t="s">
        <v>954</v>
      </c>
      <c r="G535" s="46" t="s">
        <v>1306</v>
      </c>
      <c r="H535" s="47" t="s">
        <v>709</v>
      </c>
      <c r="I535" s="47" t="s">
        <v>709</v>
      </c>
      <c r="J535" s="29">
        <v>43996</v>
      </c>
      <c r="K535" s="1"/>
      <c r="L535" s="27"/>
      <c r="M535" s="27"/>
      <c r="N535" s="1"/>
      <c r="O535" s="45">
        <v>44004</v>
      </c>
      <c r="P535" s="1"/>
    </row>
    <row r="536" ht="39" spans="1:17">
      <c r="B536" s="1">
        <v>535</v>
      </c>
      <c r="C536" s="24" t="s">
        <v>1307</v>
      </c>
      <c r="D536" s="24" t="s">
        <v>1308</v>
      </c>
      <c r="E536" s="33"/>
      <c r="F536" s="24" t="s">
        <v>1062</v>
      </c>
      <c r="G536" s="46"/>
      <c r="H536" s="47" t="s">
        <v>709</v>
      </c>
      <c r="I536" s="47" t="s">
        <v>709</v>
      </c>
      <c r="J536" s="29">
        <v>43983</v>
      </c>
      <c r="K536" s="1">
        <v>368</v>
      </c>
      <c r="L536" s="27"/>
      <c r="M536" s="27"/>
      <c r="N536" s="1"/>
      <c r="O536" s="45">
        <v>44033</v>
      </c>
      <c r="P536" s="1"/>
    </row>
    <row r="537" ht="26" spans="1:17">
      <c r="B537" s="1">
        <v>536</v>
      </c>
      <c r="C537" s="24" t="s">
        <v>1309</v>
      </c>
      <c r="D537" s="24" t="s">
        <v>517</v>
      </c>
      <c r="E537" s="33"/>
      <c r="F537" s="24"/>
      <c r="G537" s="46" t="s">
        <v>1310</v>
      </c>
      <c r="H537" s="47" t="s">
        <v>1311</v>
      </c>
      <c r="I537" s="47" t="s">
        <v>709</v>
      </c>
      <c r="J537" s="29">
        <v>43843</v>
      </c>
      <c r="K537" s="1"/>
      <c r="L537" s="27"/>
      <c r="M537" s="27"/>
      <c r="N537" s="1"/>
      <c r="O537" s="45">
        <v>44069</v>
      </c>
      <c r="P537" s="1"/>
    </row>
    <row r="538" ht="26" spans="1:17">
      <c r="B538" s="1">
        <v>537</v>
      </c>
      <c r="C538" s="24" t="s">
        <v>1312</v>
      </c>
      <c r="D538" s="24" t="s">
        <v>674</v>
      </c>
      <c r="E538" s="33"/>
      <c r="F538" s="24" t="s">
        <v>954</v>
      </c>
      <c r="G538" s="24"/>
      <c r="H538" s="1"/>
      <c r="I538" s="1"/>
      <c r="J538" s="29">
        <v>43895</v>
      </c>
      <c r="K538" s="1">
        <v>23.4813</v>
      </c>
      <c r="L538" s="27"/>
      <c r="M538" s="27"/>
      <c r="N538" s="1"/>
      <c r="O538" s="45">
        <v>44069</v>
      </c>
      <c r="P538" s="1"/>
    </row>
    <row r="539" spans="1:17">
      <c r="B539" s="1">
        <v>538</v>
      </c>
      <c r="C539" s="24" t="s">
        <v>1313</v>
      </c>
      <c r="D539" s="24" t="s">
        <v>1069</v>
      </c>
      <c r="E539" s="25"/>
      <c r="F539" s="24" t="s">
        <v>931</v>
      </c>
      <c r="G539" s="46" t="s">
        <v>1294</v>
      </c>
      <c r="H539" s="47" t="s">
        <v>721</v>
      </c>
      <c r="I539" s="47" t="s">
        <v>709</v>
      </c>
      <c r="J539" s="29">
        <v>43713</v>
      </c>
      <c r="K539" s="1"/>
      <c r="L539" s="27"/>
      <c r="M539" s="27"/>
      <c r="N539" s="1"/>
      <c r="O539" s="45">
        <v>44069</v>
      </c>
      <c r="P539" s="1"/>
    </row>
    <row r="540" ht="26" spans="1:17">
      <c r="B540" s="1">
        <v>539</v>
      </c>
      <c r="C540" s="24" t="s">
        <v>1314</v>
      </c>
      <c r="D540" s="24" t="s">
        <v>1315</v>
      </c>
      <c r="E540" s="25">
        <v>49932</v>
      </c>
      <c r="F540" s="24" t="s">
        <v>365</v>
      </c>
      <c r="G540" s="46" t="s">
        <v>1316</v>
      </c>
      <c r="H540" s="47" t="s">
        <v>914</v>
      </c>
      <c r="I540" s="47" t="s">
        <v>709</v>
      </c>
      <c r="J540" s="29">
        <v>43879</v>
      </c>
      <c r="K540" s="1"/>
      <c r="L540" s="27"/>
      <c r="M540" s="27"/>
      <c r="N540" s="1"/>
      <c r="O540" s="45">
        <v>44069</v>
      </c>
      <c r="P540" s="1"/>
    </row>
    <row r="541" ht="26" spans="1:17">
      <c r="B541" s="1">
        <v>540</v>
      </c>
      <c r="C541" s="24" t="s">
        <v>1317</v>
      </c>
      <c r="D541" s="24" t="s">
        <v>1315</v>
      </c>
      <c r="E541" s="25">
        <v>202626</v>
      </c>
      <c r="F541" s="24" t="s">
        <v>365</v>
      </c>
      <c r="G541" s="46" t="s">
        <v>1318</v>
      </c>
      <c r="H541" s="47" t="s">
        <v>914</v>
      </c>
      <c r="I541" s="47" t="s">
        <v>709</v>
      </c>
      <c r="J541" s="29">
        <v>43879</v>
      </c>
      <c r="K541" s="1"/>
      <c r="L541" s="27"/>
      <c r="M541" s="27"/>
      <c r="N541" s="1"/>
      <c r="O541" s="45">
        <v>44069</v>
      </c>
      <c r="P541" s="1"/>
    </row>
    <row r="542" ht="26" spans="1:17">
      <c r="B542" s="1">
        <v>541</v>
      </c>
      <c r="C542" s="24" t="s">
        <v>1319</v>
      </c>
      <c r="D542" s="24" t="s">
        <v>656</v>
      </c>
      <c r="E542" s="25"/>
      <c r="F542" s="24" t="s">
        <v>395</v>
      </c>
      <c r="G542" s="46" t="s">
        <v>1294</v>
      </c>
      <c r="H542" s="47" t="s">
        <v>914</v>
      </c>
      <c r="I542" s="47" t="s">
        <v>709</v>
      </c>
      <c r="J542" s="29">
        <v>43822</v>
      </c>
      <c r="K542" s="1"/>
      <c r="L542" s="27"/>
      <c r="M542" s="27"/>
      <c r="N542" s="1"/>
      <c r="O542" s="45">
        <v>44069</v>
      </c>
      <c r="P542" s="1"/>
    </row>
    <row r="543" s="1" customFormat="1" ht="26" spans="1:17">
      <c r="A543" s="5"/>
      <c r="B543" s="1">
        <v>542</v>
      </c>
      <c r="C543" s="24" t="s">
        <v>1320</v>
      </c>
      <c r="D543" s="24" t="s">
        <v>1321</v>
      </c>
      <c r="E543" s="25"/>
      <c r="F543" s="24" t="s">
        <v>931</v>
      </c>
      <c r="G543" s="46" t="s">
        <v>1322</v>
      </c>
      <c r="H543" s="47" t="s">
        <v>721</v>
      </c>
      <c r="I543" s="47" t="s">
        <v>709</v>
      </c>
      <c r="J543" s="29">
        <v>43617</v>
      </c>
      <c r="L543" s="27"/>
      <c r="M543" s="27"/>
      <c r="O543" s="45">
        <v>44069</v>
      </c>
      <c r="Q543" s="21"/>
    </row>
    <row r="544" s="1" customFormat="1" ht="26" spans="1:17">
      <c r="A544" s="5"/>
      <c r="B544" s="1">
        <v>543</v>
      </c>
      <c r="C544" s="24" t="s">
        <v>1323</v>
      </c>
      <c r="D544" s="24" t="s">
        <v>1321</v>
      </c>
      <c r="E544" s="25"/>
      <c r="F544" s="24" t="s">
        <v>365</v>
      </c>
      <c r="G544" s="46" t="s">
        <v>1294</v>
      </c>
      <c r="H544" s="47" t="s">
        <v>914</v>
      </c>
      <c r="I544" s="47" t="s">
        <v>709</v>
      </c>
      <c r="J544" s="29" t="s">
        <v>1324</v>
      </c>
      <c r="K544" s="1">
        <v>94.6019</v>
      </c>
      <c r="L544" s="27"/>
      <c r="M544" s="27"/>
      <c r="O544" s="45">
        <v>44069</v>
      </c>
      <c r="Q544" s="21"/>
    </row>
    <row r="545" s="1" customFormat="1" ht="26" spans="1:17">
      <c r="A545" s="5"/>
      <c r="B545" s="1">
        <v>544</v>
      </c>
      <c r="C545" s="24" t="s">
        <v>1325</v>
      </c>
      <c r="D545" s="24" t="s">
        <v>1321</v>
      </c>
      <c r="E545" s="25"/>
      <c r="F545" s="24" t="s">
        <v>395</v>
      </c>
      <c r="G545" s="46" t="s">
        <v>1326</v>
      </c>
      <c r="H545" s="47" t="s">
        <v>914</v>
      </c>
      <c r="I545" s="47" t="s">
        <v>709</v>
      </c>
      <c r="J545" s="29">
        <v>43733</v>
      </c>
      <c r="L545" s="27"/>
      <c r="M545" s="27"/>
      <c r="O545" s="45">
        <v>44069</v>
      </c>
      <c r="Q545" s="21"/>
    </row>
    <row r="546" s="1" customFormat="1" ht="26" spans="1:17">
      <c r="A546" s="5"/>
      <c r="B546" s="1">
        <v>545</v>
      </c>
      <c r="C546" s="24" t="s">
        <v>1327</v>
      </c>
      <c r="D546" s="24" t="s">
        <v>1321</v>
      </c>
      <c r="E546" s="25">
        <v>631900</v>
      </c>
      <c r="F546" s="24" t="s">
        <v>1202</v>
      </c>
      <c r="G546" s="46" t="s">
        <v>1328</v>
      </c>
      <c r="H546" s="47" t="s">
        <v>914</v>
      </c>
      <c r="I546" s="47" t="s">
        <v>709</v>
      </c>
      <c r="J546" s="29">
        <v>43835</v>
      </c>
      <c r="L546" s="27"/>
      <c r="M546" s="27"/>
      <c r="O546" s="45">
        <v>44069</v>
      </c>
      <c r="Q546" s="21"/>
    </row>
    <row r="547" ht="26" spans="1:17">
      <c r="B547" s="1">
        <v>546</v>
      </c>
      <c r="C547" s="24" t="s">
        <v>1329</v>
      </c>
      <c r="D547" s="24" t="s">
        <v>416</v>
      </c>
      <c r="E547" s="25"/>
      <c r="F547" s="24" t="s">
        <v>456</v>
      </c>
      <c r="G547" s="46" t="s">
        <v>1294</v>
      </c>
      <c r="H547" s="47" t="s">
        <v>1330</v>
      </c>
      <c r="I547" s="47" t="s">
        <v>709</v>
      </c>
      <c r="J547" s="29">
        <v>43564</v>
      </c>
      <c r="K547" s="1"/>
      <c r="L547" s="27"/>
      <c r="M547" s="27"/>
      <c r="N547" s="1"/>
      <c r="O547" s="28"/>
      <c r="P547" s="1"/>
    </row>
    <row r="548" ht="26" spans="1:17">
      <c r="B548" s="1">
        <v>547</v>
      </c>
      <c r="C548" s="24" t="s">
        <v>1331</v>
      </c>
      <c r="D548" s="24" t="s">
        <v>416</v>
      </c>
      <c r="E548" s="25"/>
      <c r="F548" s="24" t="s">
        <v>401</v>
      </c>
      <c r="G548" s="46" t="s">
        <v>1294</v>
      </c>
      <c r="H548" s="47" t="s">
        <v>1330</v>
      </c>
      <c r="I548" s="47" t="s">
        <v>709</v>
      </c>
      <c r="J548" s="29">
        <v>43564</v>
      </c>
      <c r="K548" s="1"/>
      <c r="L548" s="27"/>
      <c r="M548" s="27"/>
      <c r="N548" s="1"/>
      <c r="O548" s="28"/>
      <c r="P548" s="1"/>
    </row>
    <row r="549" ht="26" spans="1:17">
      <c r="B549" s="1">
        <v>548</v>
      </c>
      <c r="C549" s="24" t="s">
        <v>1332</v>
      </c>
      <c r="D549" s="24" t="s">
        <v>416</v>
      </c>
      <c r="E549" s="25"/>
      <c r="F549" s="24" t="s">
        <v>365</v>
      </c>
      <c r="G549" s="46" t="s">
        <v>1333</v>
      </c>
      <c r="H549" s="47" t="s">
        <v>1330</v>
      </c>
      <c r="I549" s="47" t="s">
        <v>709</v>
      </c>
      <c r="J549" s="29">
        <v>43543</v>
      </c>
      <c r="K549" s="1">
        <v>33</v>
      </c>
      <c r="L549" s="27"/>
      <c r="M549" s="27"/>
      <c r="N549" s="1"/>
      <c r="O549" s="28"/>
      <c r="P549" s="1"/>
    </row>
    <row r="550" ht="26" spans="1:17">
      <c r="B550" s="1">
        <v>549</v>
      </c>
      <c r="C550" s="24" t="s">
        <v>1334</v>
      </c>
      <c r="D550" s="24" t="s">
        <v>416</v>
      </c>
      <c r="E550" s="25"/>
      <c r="F550" s="24" t="s">
        <v>365</v>
      </c>
      <c r="G550" s="46" t="s">
        <v>1333</v>
      </c>
      <c r="H550" s="47" t="s">
        <v>857</v>
      </c>
      <c r="I550" s="47" t="s">
        <v>709</v>
      </c>
      <c r="J550" s="29">
        <v>43332</v>
      </c>
      <c r="K550" s="1">
        <v>10</v>
      </c>
      <c r="L550" s="27"/>
      <c r="M550" s="27"/>
      <c r="N550" s="1"/>
      <c r="O550" s="28"/>
      <c r="P550" s="1"/>
    </row>
    <row r="551" ht="26" spans="1:17">
      <c r="B551" s="1">
        <v>550</v>
      </c>
      <c r="C551" s="24" t="s">
        <v>1335</v>
      </c>
      <c r="D551" s="24" t="s">
        <v>1336</v>
      </c>
      <c r="E551" s="33"/>
      <c r="F551" s="24" t="s">
        <v>365</v>
      </c>
      <c r="G551" s="46" t="s">
        <v>1294</v>
      </c>
      <c r="H551" s="47" t="s">
        <v>857</v>
      </c>
      <c r="I551" s="47" t="s">
        <v>709</v>
      </c>
      <c r="J551" s="29" t="s">
        <v>1010</v>
      </c>
      <c r="K551" s="1"/>
      <c r="L551" s="27"/>
      <c r="M551" s="27"/>
      <c r="N551" s="1"/>
      <c r="O551" s="28"/>
      <c r="P551" s="1"/>
    </row>
    <row r="552" ht="26" spans="1:17">
      <c r="B552" s="1">
        <v>551</v>
      </c>
      <c r="C552" s="24" t="s">
        <v>1337</v>
      </c>
      <c r="D552" s="24" t="s">
        <v>1338</v>
      </c>
      <c r="E552" s="25">
        <v>1040000</v>
      </c>
      <c r="F552" s="24" t="s">
        <v>365</v>
      </c>
      <c r="G552" s="46" t="s">
        <v>1294</v>
      </c>
      <c r="H552" s="47" t="s">
        <v>1339</v>
      </c>
      <c r="I552" s="47" t="s">
        <v>709</v>
      </c>
      <c r="J552" s="29">
        <v>43886</v>
      </c>
      <c r="K552" s="1"/>
      <c r="L552" s="27"/>
      <c r="M552" s="27"/>
      <c r="N552" s="1"/>
      <c r="O552" s="28"/>
      <c r="P552" s="1"/>
    </row>
    <row r="553" ht="26" spans="1:17">
      <c r="B553" s="1">
        <v>552</v>
      </c>
      <c r="C553" s="24" t="s">
        <v>1340</v>
      </c>
      <c r="D553" s="24" t="s">
        <v>490</v>
      </c>
      <c r="E553" s="25"/>
      <c r="F553" s="24" t="s">
        <v>365</v>
      </c>
      <c r="G553" s="46" t="s">
        <v>1341</v>
      </c>
      <c r="H553" s="47" t="s">
        <v>708</v>
      </c>
      <c r="I553" s="53" t="s">
        <v>800</v>
      </c>
      <c r="J553" s="29">
        <v>42826</v>
      </c>
      <c r="K553" s="1"/>
      <c r="L553" s="27"/>
      <c r="M553" s="27"/>
      <c r="N553" s="1"/>
      <c r="O553" s="28"/>
      <c r="P553" s="1"/>
    </row>
    <row r="554" ht="26" spans="1:17">
      <c r="B554" s="1">
        <v>553</v>
      </c>
      <c r="C554" s="24" t="s">
        <v>1342</v>
      </c>
      <c r="D554" s="24" t="s">
        <v>1061</v>
      </c>
      <c r="E554" s="25">
        <v>25288</v>
      </c>
      <c r="F554" s="24" t="s">
        <v>1343</v>
      </c>
      <c r="G554" s="46" t="s">
        <v>1344</v>
      </c>
      <c r="H554" s="47" t="s">
        <v>708</v>
      </c>
      <c r="I554" s="53" t="s">
        <v>813</v>
      </c>
      <c r="J554" s="29">
        <v>43891</v>
      </c>
      <c r="K554" s="1"/>
      <c r="L554" s="27"/>
      <c r="M554" s="27"/>
      <c r="N554" s="1"/>
      <c r="O554" s="28"/>
      <c r="P554" s="1"/>
    </row>
    <row r="555" ht="26" spans="1:17">
      <c r="B555" s="1">
        <v>554</v>
      </c>
      <c r="C555" s="24" t="s">
        <v>1345</v>
      </c>
      <c r="D555" s="24" t="s">
        <v>1346</v>
      </c>
      <c r="E555" s="25">
        <v>1960</v>
      </c>
      <c r="F555" s="24" t="s">
        <v>1347</v>
      </c>
      <c r="G555" s="46" t="s">
        <v>1326</v>
      </c>
      <c r="H555" s="47" t="s">
        <v>709</v>
      </c>
      <c r="I555" s="47" t="s">
        <v>709</v>
      </c>
      <c r="J555" s="29">
        <v>43910</v>
      </c>
      <c r="K555" s="1"/>
      <c r="L555" s="27"/>
      <c r="M555" s="27"/>
      <c r="N555" s="1"/>
      <c r="O555" s="28"/>
      <c r="P555" s="1"/>
    </row>
    <row r="556" ht="25.8" customHeight="1" spans="1:17">
      <c r="B556" s="1">
        <v>555</v>
      </c>
      <c r="C556" s="24" t="s">
        <v>1348</v>
      </c>
      <c r="D556" s="24" t="s">
        <v>1346</v>
      </c>
      <c r="E556" s="25">
        <v>2330000</v>
      </c>
      <c r="F556" s="24" t="s">
        <v>456</v>
      </c>
      <c r="G556" s="46" t="s">
        <v>1326</v>
      </c>
      <c r="H556" s="47" t="s">
        <v>709</v>
      </c>
      <c r="I556" s="47" t="s">
        <v>709</v>
      </c>
      <c r="J556" s="29">
        <v>43910</v>
      </c>
      <c r="K556" s="1"/>
      <c r="L556" s="27"/>
      <c r="M556" s="27"/>
      <c r="N556" s="1"/>
      <c r="O556" s="28"/>
      <c r="P556" s="1"/>
    </row>
    <row r="557" ht="26" spans="1:17">
      <c r="B557" s="1">
        <v>556</v>
      </c>
      <c r="C557" s="24" t="s">
        <v>1349</v>
      </c>
      <c r="D557" s="24" t="s">
        <v>1346</v>
      </c>
      <c r="E557" s="25"/>
      <c r="F557" s="24" t="s">
        <v>931</v>
      </c>
      <c r="G557" s="46" t="s">
        <v>1326</v>
      </c>
      <c r="H557" s="47" t="s">
        <v>709</v>
      </c>
      <c r="I557" s="47" t="s">
        <v>709</v>
      </c>
      <c r="J557" s="29" t="s">
        <v>1350</v>
      </c>
      <c r="K557" s="1"/>
      <c r="L557" s="27"/>
      <c r="M557" s="27"/>
      <c r="N557" s="1"/>
      <c r="O557" s="28"/>
      <c r="P557" s="1"/>
    </row>
    <row r="558" ht="26" spans="1:17">
      <c r="B558" s="1">
        <v>557</v>
      </c>
      <c r="C558" s="24" t="s">
        <v>1351</v>
      </c>
      <c r="D558" s="24" t="s">
        <v>1346</v>
      </c>
      <c r="E558" s="55">
        <v>455.7048</v>
      </c>
      <c r="F558" s="24" t="s">
        <v>931</v>
      </c>
      <c r="G558" s="46" t="s">
        <v>1352</v>
      </c>
      <c r="H558" s="47" t="s">
        <v>709</v>
      </c>
      <c r="I558" s="47" t="s">
        <v>709</v>
      </c>
      <c r="J558" s="29">
        <v>44002</v>
      </c>
      <c r="K558" s="1"/>
      <c r="L558" s="27"/>
      <c r="M558" s="27"/>
      <c r="N558" s="1"/>
      <c r="O558" s="28"/>
      <c r="P558" s="1"/>
    </row>
    <row r="559" ht="26" spans="1:17">
      <c r="B559" s="1">
        <v>558</v>
      </c>
      <c r="C559" s="24" t="s">
        <v>1353</v>
      </c>
      <c r="D559" s="24" t="s">
        <v>1346</v>
      </c>
      <c r="E559" s="56">
        <v>93.2433</v>
      </c>
      <c r="F559" s="24" t="s">
        <v>931</v>
      </c>
      <c r="G559" s="46" t="s">
        <v>1352</v>
      </c>
      <c r="H559" s="47" t="s">
        <v>709</v>
      </c>
      <c r="I559" s="47" t="s">
        <v>709</v>
      </c>
      <c r="J559" s="29">
        <v>44002</v>
      </c>
      <c r="K559" s="1"/>
      <c r="L559" s="27"/>
      <c r="M559" s="27"/>
      <c r="N559" s="1"/>
      <c r="O559" s="28"/>
      <c r="P559" s="1"/>
    </row>
    <row r="560" ht="26" spans="1:17">
      <c r="B560" s="1">
        <v>559</v>
      </c>
      <c r="C560" s="24" t="s">
        <v>1354</v>
      </c>
      <c r="D560" s="24" t="s">
        <v>1346</v>
      </c>
      <c r="E560" s="56">
        <v>72</v>
      </c>
      <c r="F560" s="24" t="s">
        <v>931</v>
      </c>
      <c r="G560" s="46" t="s">
        <v>1355</v>
      </c>
      <c r="H560" s="47" t="s">
        <v>709</v>
      </c>
      <c r="I560" s="47" t="s">
        <v>709</v>
      </c>
      <c r="J560" s="29">
        <v>44002</v>
      </c>
      <c r="K560" s="1"/>
      <c r="L560" s="27"/>
      <c r="M560" s="27"/>
      <c r="N560" s="1"/>
      <c r="O560" s="28"/>
      <c r="P560" s="1"/>
    </row>
    <row r="561" ht="26" spans="2:17">
      <c r="B561" s="1">
        <v>560</v>
      </c>
      <c r="C561" s="24" t="s">
        <v>1356</v>
      </c>
      <c r="D561" s="24" t="s">
        <v>1346</v>
      </c>
      <c r="E561" s="56">
        <v>345.8</v>
      </c>
      <c r="F561" s="24" t="s">
        <v>931</v>
      </c>
      <c r="G561" s="46" t="s">
        <v>1357</v>
      </c>
      <c r="H561" s="47" t="s">
        <v>709</v>
      </c>
      <c r="I561" s="47" t="s">
        <v>709</v>
      </c>
      <c r="J561" s="29">
        <v>44002</v>
      </c>
      <c r="K561" s="1"/>
      <c r="L561" s="27"/>
      <c r="M561" s="27"/>
      <c r="N561" s="1"/>
      <c r="O561" s="28"/>
      <c r="P561" s="1"/>
    </row>
    <row r="562" ht="26" spans="2:17">
      <c r="B562" s="1">
        <v>561</v>
      </c>
      <c r="C562" s="24" t="s">
        <v>1358</v>
      </c>
      <c r="D562" s="24" t="s">
        <v>1201</v>
      </c>
      <c r="E562" s="57">
        <v>500</v>
      </c>
      <c r="F562" s="24" t="s">
        <v>931</v>
      </c>
      <c r="G562" s="46" t="s">
        <v>1326</v>
      </c>
      <c r="H562" s="47" t="s">
        <v>709</v>
      </c>
      <c r="I562" s="47" t="s">
        <v>709</v>
      </c>
      <c r="J562" s="29">
        <v>43958</v>
      </c>
      <c r="K562" s="1"/>
      <c r="L562" s="27"/>
      <c r="M562" s="27"/>
      <c r="N562" s="1"/>
      <c r="O562" s="28"/>
      <c r="P562" s="1"/>
    </row>
    <row r="563" ht="26" spans="2:17">
      <c r="B563" s="1">
        <v>562</v>
      </c>
      <c r="C563" s="24" t="s">
        <v>1359</v>
      </c>
      <c r="D563" s="24" t="s">
        <v>1360</v>
      </c>
      <c r="E563" s="25"/>
      <c r="F563" s="24" t="s">
        <v>401</v>
      </c>
      <c r="G563" s="46" t="s">
        <v>1326</v>
      </c>
      <c r="H563" s="47" t="s">
        <v>709</v>
      </c>
      <c r="I563" s="47" t="s">
        <v>709</v>
      </c>
      <c r="J563" s="29">
        <v>43593</v>
      </c>
      <c r="K563" s="1"/>
      <c r="L563" s="27"/>
      <c r="M563" s="27"/>
      <c r="N563" s="1"/>
      <c r="O563" s="28"/>
      <c r="P563" s="1"/>
    </row>
    <row r="564" ht="39" spans="2:17">
      <c r="B564" s="1">
        <v>563</v>
      </c>
      <c r="C564" s="24" t="s">
        <v>1361</v>
      </c>
      <c r="D564" s="24" t="s">
        <v>1362</v>
      </c>
      <c r="E564" s="25"/>
      <c r="F564" s="24" t="s">
        <v>1213</v>
      </c>
      <c r="G564" s="46" t="s">
        <v>1363</v>
      </c>
      <c r="H564" s="47" t="s">
        <v>1364</v>
      </c>
      <c r="I564" s="47" t="s">
        <v>709</v>
      </c>
      <c r="J564" s="29" t="s">
        <v>1365</v>
      </c>
      <c r="K564" s="1">
        <v>13</v>
      </c>
      <c r="L564" s="27"/>
      <c r="M564" s="27"/>
      <c r="N564" s="1"/>
      <c r="O564" s="28"/>
      <c r="P564" s="1"/>
    </row>
    <row r="565" ht="26" spans="2:17">
      <c r="B565" s="1">
        <v>564</v>
      </c>
      <c r="C565" s="24" t="s">
        <v>1366</v>
      </c>
      <c r="D565" s="24" t="s">
        <v>536</v>
      </c>
      <c r="E565" s="25">
        <v>7600</v>
      </c>
      <c r="F565" s="24" t="s">
        <v>696</v>
      </c>
      <c r="G565" s="46" t="s">
        <v>1326</v>
      </c>
      <c r="H565" s="47" t="s">
        <v>1364</v>
      </c>
      <c r="I565" s="47" t="s">
        <v>709</v>
      </c>
      <c r="J565" s="29">
        <v>43923</v>
      </c>
      <c r="K565" s="1">
        <v>10.9</v>
      </c>
      <c r="L565" s="27"/>
      <c r="M565" s="27"/>
      <c r="N565" s="1"/>
      <c r="O565" s="28"/>
      <c r="P565" s="1"/>
    </row>
    <row r="566" ht="37.2" customHeight="1" spans="2:17">
      <c r="B566" s="1">
        <v>565</v>
      </c>
      <c r="C566" s="24" t="s">
        <v>1367</v>
      </c>
      <c r="D566" s="24" t="s">
        <v>1368</v>
      </c>
      <c r="E566" s="25">
        <v>545900</v>
      </c>
      <c r="F566" s="24" t="s">
        <v>1369</v>
      </c>
      <c r="G566" s="46" t="s">
        <v>1370</v>
      </c>
      <c r="H566" s="47" t="s">
        <v>708</v>
      </c>
      <c r="I566" s="53" t="s">
        <v>857</v>
      </c>
      <c r="J566" s="29">
        <v>44103</v>
      </c>
      <c r="K566" s="1">
        <v>121.5</v>
      </c>
      <c r="L566" s="27"/>
      <c r="M566" s="27"/>
      <c r="N566" s="1"/>
      <c r="O566" s="28"/>
      <c r="P566" s="1"/>
    </row>
    <row r="567" ht="26" spans="2:17">
      <c r="B567" s="1">
        <v>566</v>
      </c>
      <c r="C567" s="24" t="s">
        <v>1371</v>
      </c>
      <c r="D567" s="24" t="s">
        <v>620</v>
      </c>
      <c r="E567" s="25"/>
      <c r="F567" s="24" t="s">
        <v>931</v>
      </c>
      <c r="G567" s="46" t="s">
        <v>1294</v>
      </c>
      <c r="H567" s="47" t="s">
        <v>708</v>
      </c>
      <c r="I567" s="47" t="s">
        <v>709</v>
      </c>
      <c r="J567" s="29">
        <v>43364</v>
      </c>
      <c r="K567" s="1"/>
      <c r="L567" s="27"/>
      <c r="M567" s="27"/>
      <c r="N567" s="1"/>
      <c r="O567" s="28"/>
      <c r="P567" s="1"/>
    </row>
    <row r="568" ht="26" spans="2:17">
      <c r="B568" s="1">
        <v>567</v>
      </c>
      <c r="C568" s="24" t="s">
        <v>1372</v>
      </c>
      <c r="D568" s="24" t="s">
        <v>1093</v>
      </c>
      <c r="E568" s="25"/>
      <c r="F568" s="24" t="s">
        <v>954</v>
      </c>
      <c r="G568" s="24"/>
      <c r="H568" s="1"/>
      <c r="I568" s="1"/>
      <c r="J568" s="29">
        <v>43773</v>
      </c>
      <c r="K568" s="1">
        <v>58</v>
      </c>
      <c r="L568" s="27"/>
      <c r="M568" s="27"/>
      <c r="N568" s="1"/>
      <c r="O568" s="28"/>
      <c r="P568" s="1"/>
    </row>
    <row r="569" ht="39" spans="2:17">
      <c r="B569" s="1">
        <v>568</v>
      </c>
      <c r="C569" s="24" t="s">
        <v>1373</v>
      </c>
      <c r="D569" s="24" t="s">
        <v>1374</v>
      </c>
      <c r="E569" s="25"/>
      <c r="F569" s="24" t="s">
        <v>367</v>
      </c>
      <c r="G569" s="46" t="s">
        <v>1294</v>
      </c>
      <c r="H569" s="47" t="s">
        <v>708</v>
      </c>
      <c r="I569" s="53" t="s">
        <v>813</v>
      </c>
      <c r="J569" s="29">
        <v>43709</v>
      </c>
      <c r="K569" s="1">
        <v>17</v>
      </c>
      <c r="L569" s="27"/>
      <c r="M569" s="27"/>
      <c r="N569" s="1"/>
      <c r="O569" s="28"/>
      <c r="P569" s="1"/>
    </row>
    <row r="570" ht="39" spans="2:17">
      <c r="B570" s="1">
        <v>569</v>
      </c>
      <c r="C570" s="24" t="s">
        <v>1375</v>
      </c>
      <c r="D570" s="24" t="s">
        <v>1376</v>
      </c>
      <c r="E570" s="33"/>
      <c r="F570" s="24" t="s">
        <v>367</v>
      </c>
      <c r="G570" s="46" t="s">
        <v>1294</v>
      </c>
      <c r="H570" s="47" t="s">
        <v>709</v>
      </c>
      <c r="I570" s="47" t="s">
        <v>709</v>
      </c>
      <c r="J570" s="29">
        <v>43846</v>
      </c>
      <c r="K570" s="1">
        <v>17</v>
      </c>
      <c r="L570" s="27"/>
      <c r="M570" s="27"/>
      <c r="N570" s="1"/>
      <c r="O570" s="28"/>
      <c r="P570" s="1"/>
    </row>
    <row r="571" ht="26" spans="2:17">
      <c r="B571" s="1">
        <v>570</v>
      </c>
      <c r="C571" s="24" t="s">
        <v>1377</v>
      </c>
      <c r="D571" s="24" t="s">
        <v>674</v>
      </c>
      <c r="E571" s="33"/>
      <c r="F571" s="24" t="s">
        <v>954</v>
      </c>
      <c r="G571" s="24"/>
      <c r="H571" s="1"/>
      <c r="I571" s="1"/>
      <c r="J571" s="29">
        <v>44035</v>
      </c>
      <c r="K571" s="1">
        <v>25.1655</v>
      </c>
      <c r="L571" s="27"/>
      <c r="M571" s="27"/>
      <c r="N571" s="1"/>
      <c r="O571" s="28"/>
      <c r="P571" s="1"/>
    </row>
    <row r="572" ht="26" spans="2:17">
      <c r="B572" s="1">
        <v>571</v>
      </c>
      <c r="C572" s="24" t="s">
        <v>1378</v>
      </c>
      <c r="D572" s="24" t="s">
        <v>788</v>
      </c>
      <c r="E572" s="33"/>
      <c r="F572" s="24" t="s">
        <v>693</v>
      </c>
      <c r="G572" s="24" t="s">
        <v>1379</v>
      </c>
      <c r="H572" s="47" t="s">
        <v>884</v>
      </c>
      <c r="I572" s="47" t="s">
        <v>709</v>
      </c>
      <c r="J572" s="29">
        <v>44104</v>
      </c>
      <c r="K572" s="1"/>
      <c r="L572" s="27"/>
      <c r="M572" s="27"/>
      <c r="N572" s="1"/>
      <c r="O572" s="28"/>
      <c r="P572" s="1"/>
    </row>
    <row r="573" ht="39" spans="2:17">
      <c r="B573" s="1">
        <v>572</v>
      </c>
      <c r="C573" s="24" t="s">
        <v>1380</v>
      </c>
      <c r="D573" s="24" t="s">
        <v>1374</v>
      </c>
      <c r="E573" s="25">
        <v>650000</v>
      </c>
      <c r="F573" s="24" t="s">
        <v>367</v>
      </c>
      <c r="G573" s="46" t="s">
        <v>1294</v>
      </c>
      <c r="H573" s="47" t="s">
        <v>813</v>
      </c>
      <c r="I573" s="47" t="s">
        <v>709</v>
      </c>
      <c r="J573" s="29">
        <v>43891</v>
      </c>
      <c r="K573" s="1">
        <v>6.6</v>
      </c>
      <c r="L573" s="27"/>
      <c r="M573" s="27"/>
      <c r="N573" s="1"/>
      <c r="O573" s="45">
        <v>44158</v>
      </c>
      <c r="P573" s="1"/>
    </row>
    <row r="574" ht="26" spans="2:17">
      <c r="B574" s="1">
        <v>573</v>
      </c>
      <c r="C574" s="24" t="s">
        <v>1381</v>
      </c>
      <c r="D574" s="24" t="s">
        <v>1029</v>
      </c>
      <c r="E574" s="25">
        <v>977900</v>
      </c>
      <c r="F574" s="24" t="s">
        <v>646</v>
      </c>
      <c r="G574" s="46" t="s">
        <v>1294</v>
      </c>
      <c r="H574" s="47" t="s">
        <v>709</v>
      </c>
      <c r="I574" s="47" t="s">
        <v>709</v>
      </c>
      <c r="J574" s="29">
        <v>44123</v>
      </c>
      <c r="K574" s="1">
        <v>69</v>
      </c>
      <c r="L574" s="27"/>
      <c r="M574" s="27"/>
      <c r="N574" s="1"/>
      <c r="O574" s="45">
        <v>44158</v>
      </c>
      <c r="P574" s="1"/>
    </row>
    <row r="575" s="3" customFormat="1" spans="2:17">
      <c r="B575" s="1">
        <v>574</v>
      </c>
      <c r="C575" s="24" t="s">
        <v>1382</v>
      </c>
      <c r="D575" s="24" t="s">
        <v>1383</v>
      </c>
      <c r="E575" s="25">
        <v>284665</v>
      </c>
      <c r="F575" s="24" t="s">
        <v>367</v>
      </c>
      <c r="G575" s="46" t="s">
        <v>1294</v>
      </c>
      <c r="H575" s="47" t="s">
        <v>914</v>
      </c>
      <c r="I575" s="47" t="s">
        <v>709</v>
      </c>
      <c r="J575" s="29">
        <v>44175</v>
      </c>
      <c r="K575" s="1"/>
      <c r="L575" s="27"/>
      <c r="M575" s="27"/>
      <c r="N575" s="1"/>
      <c r="O575" s="45">
        <v>44190</v>
      </c>
      <c r="P575" s="1"/>
      <c r="Q575" s="58"/>
    </row>
    <row r="576" s="3" customFormat="1" ht="39" spans="2:17">
      <c r="B576" s="1">
        <v>575</v>
      </c>
      <c r="C576" s="24" t="s">
        <v>1384</v>
      </c>
      <c r="D576" s="24" t="s">
        <v>1061</v>
      </c>
      <c r="E576" s="25">
        <v>368600</v>
      </c>
      <c r="F576" s="24" t="s">
        <v>1385</v>
      </c>
      <c r="G576" s="46" t="s">
        <v>1386</v>
      </c>
      <c r="H576" s="47" t="s">
        <v>708</v>
      </c>
      <c r="I576" s="47" t="s">
        <v>884</v>
      </c>
      <c r="J576" s="29">
        <v>44009</v>
      </c>
      <c r="K576" s="1"/>
      <c r="L576" s="27"/>
      <c r="M576" s="27"/>
      <c r="N576" s="1"/>
      <c r="O576" s="45">
        <v>44190</v>
      </c>
      <c r="P576" s="1"/>
      <c r="Q576" s="58"/>
    </row>
    <row r="577" spans="2:16">
      <c r="B577" s="1">
        <v>576</v>
      </c>
      <c r="C577" s="24" t="s">
        <v>1387</v>
      </c>
      <c r="D577" s="24" t="s">
        <v>546</v>
      </c>
      <c r="E577" s="25"/>
      <c r="F577" s="24" t="s">
        <v>954</v>
      </c>
      <c r="G577" s="24"/>
      <c r="H577" s="1"/>
      <c r="I577" s="1"/>
      <c r="J577" s="29">
        <v>43739</v>
      </c>
      <c r="K577" s="1">
        <v>65</v>
      </c>
      <c r="L577" s="27"/>
      <c r="M577" s="27"/>
      <c r="N577" s="1"/>
      <c r="O577" s="45">
        <v>44193</v>
      </c>
      <c r="P577" s="1"/>
    </row>
    <row r="578" spans="2:16">
      <c r="B578" s="1">
        <v>577</v>
      </c>
      <c r="C578" s="24" t="s">
        <v>1388</v>
      </c>
      <c r="D578" s="24" t="s">
        <v>546</v>
      </c>
      <c r="E578" s="25"/>
      <c r="F578" s="24" t="s">
        <v>954</v>
      </c>
      <c r="G578" s="24"/>
      <c r="H578" s="1"/>
      <c r="I578" s="1"/>
      <c r="J578" s="29">
        <v>43739</v>
      </c>
      <c r="K578" s="1">
        <v>50</v>
      </c>
      <c r="L578" s="27"/>
      <c r="M578" s="27"/>
      <c r="N578" s="1"/>
      <c r="O578" s="45">
        <v>44193</v>
      </c>
      <c r="P578" s="1"/>
    </row>
    <row r="579" spans="2:16">
      <c r="B579" s="1">
        <v>578</v>
      </c>
      <c r="C579" s="24" t="s">
        <v>1389</v>
      </c>
      <c r="D579" s="24" t="s">
        <v>546</v>
      </c>
      <c r="E579" s="33"/>
      <c r="F579" s="24" t="s">
        <v>954</v>
      </c>
      <c r="G579" s="24"/>
      <c r="H579" s="1"/>
      <c r="I579" s="1"/>
      <c r="J579" s="29">
        <v>43983</v>
      </c>
      <c r="K579" s="1">
        <v>122</v>
      </c>
      <c r="L579" s="27"/>
      <c r="M579" s="27"/>
      <c r="N579" s="1"/>
      <c r="O579" s="45">
        <v>44193</v>
      </c>
      <c r="P579" s="1"/>
    </row>
    <row r="580" ht="39" spans="2:16">
      <c r="B580" s="1">
        <v>579</v>
      </c>
      <c r="C580" s="24" t="s">
        <v>1390</v>
      </c>
      <c r="D580" s="24" t="s">
        <v>546</v>
      </c>
      <c r="E580" s="33"/>
      <c r="F580" s="24" t="s">
        <v>954</v>
      </c>
      <c r="G580" s="24"/>
      <c r="H580" s="1"/>
      <c r="I580" s="1"/>
      <c r="J580" s="29">
        <v>43922</v>
      </c>
      <c r="K580" s="1">
        <v>4.41</v>
      </c>
      <c r="L580" s="27"/>
      <c r="M580" s="27"/>
      <c r="N580" s="1"/>
      <c r="O580" s="45">
        <v>44193</v>
      </c>
      <c r="P580" s="1"/>
    </row>
    <row r="581" ht="26" spans="2:16">
      <c r="B581" s="1">
        <v>580</v>
      </c>
      <c r="C581" s="24" t="s">
        <v>1391</v>
      </c>
      <c r="D581" s="24" t="s">
        <v>1029</v>
      </c>
      <c r="E581" s="25"/>
      <c r="F581" s="24" t="s">
        <v>1097</v>
      </c>
      <c r="G581" s="46" t="s">
        <v>1392</v>
      </c>
      <c r="H581" s="47" t="s">
        <v>1031</v>
      </c>
      <c r="I581" s="47" t="s">
        <v>709</v>
      </c>
      <c r="J581" s="29">
        <v>43617</v>
      </c>
      <c r="K581" s="1">
        <v>58</v>
      </c>
      <c r="L581" s="27"/>
      <c r="M581" s="27"/>
      <c r="N581" s="1"/>
      <c r="O581" s="45">
        <v>44223</v>
      </c>
      <c r="P581" s="1"/>
    </row>
    <row r="582" spans="2:16">
      <c r="B582" s="1">
        <v>581</v>
      </c>
      <c r="C582" s="24" t="s">
        <v>1393</v>
      </c>
      <c r="D582" s="24" t="s">
        <v>1029</v>
      </c>
      <c r="E582" s="25"/>
      <c r="F582" s="24" t="s">
        <v>1097</v>
      </c>
      <c r="G582" s="46" t="s">
        <v>1394</v>
      </c>
      <c r="H582" s="47" t="s">
        <v>1031</v>
      </c>
      <c r="I582" s="47" t="s">
        <v>709</v>
      </c>
      <c r="J582" s="29">
        <v>43801</v>
      </c>
      <c r="K582" s="1">
        <v>19.5</v>
      </c>
      <c r="L582" s="27"/>
      <c r="M582" s="27"/>
      <c r="N582" s="1"/>
      <c r="O582" s="45">
        <v>44223</v>
      </c>
      <c r="P582" s="1"/>
    </row>
    <row r="583" ht="27" customHeight="1" spans="2:16">
      <c r="B583" s="1">
        <v>582</v>
      </c>
      <c r="C583" s="24" t="s">
        <v>1395</v>
      </c>
      <c r="D583" s="24" t="s">
        <v>1029</v>
      </c>
      <c r="E583" s="25"/>
      <c r="F583" s="24" t="s">
        <v>1097</v>
      </c>
      <c r="G583" s="46" t="s">
        <v>1394</v>
      </c>
      <c r="H583" s="47" t="s">
        <v>1031</v>
      </c>
      <c r="I583" s="47" t="s">
        <v>709</v>
      </c>
      <c r="J583" s="29">
        <v>43585</v>
      </c>
      <c r="K583" s="1">
        <v>19.5</v>
      </c>
      <c r="L583" s="27"/>
      <c r="M583" s="27"/>
      <c r="N583" s="1"/>
      <c r="O583" s="45">
        <v>44223</v>
      </c>
      <c r="P583" s="1"/>
    </row>
    <row r="584" ht="26" spans="2:16">
      <c r="B584" s="1">
        <v>583</v>
      </c>
      <c r="C584" s="24" t="s">
        <v>1396</v>
      </c>
      <c r="D584" s="24" t="s">
        <v>1397</v>
      </c>
      <c r="E584" s="25">
        <v>1519826</v>
      </c>
      <c r="F584" s="24" t="s">
        <v>1097</v>
      </c>
      <c r="G584" s="46" t="s">
        <v>1398</v>
      </c>
      <c r="H584" s="47" t="s">
        <v>709</v>
      </c>
      <c r="I584" s="47" t="s">
        <v>709</v>
      </c>
      <c r="J584" s="29">
        <v>44182</v>
      </c>
      <c r="K584" s="1"/>
      <c r="L584" s="27"/>
      <c r="M584" s="27"/>
      <c r="N584" s="1"/>
      <c r="O584" s="45">
        <v>44223</v>
      </c>
      <c r="P584" s="1"/>
    </row>
    <row r="585" spans="2:16">
      <c r="B585" s="1">
        <v>584</v>
      </c>
      <c r="C585" s="24" t="s">
        <v>1399</v>
      </c>
      <c r="D585" s="24" t="s">
        <v>1029</v>
      </c>
      <c r="E585" s="25"/>
      <c r="F585" s="24" t="s">
        <v>1097</v>
      </c>
      <c r="G585" s="46" t="s">
        <v>1394</v>
      </c>
      <c r="H585" s="47" t="s">
        <v>1031</v>
      </c>
      <c r="I585" s="47" t="s">
        <v>709</v>
      </c>
      <c r="J585" s="29">
        <v>43711</v>
      </c>
      <c r="K585" s="1">
        <v>19.8</v>
      </c>
      <c r="L585" s="27"/>
      <c r="M585" s="27"/>
      <c r="N585" s="1"/>
      <c r="O585" s="45">
        <v>44223</v>
      </c>
      <c r="P585" s="1"/>
    </row>
    <row r="586" ht="26" spans="2:16">
      <c r="B586" s="1">
        <v>585</v>
      </c>
      <c r="C586" s="24" t="s">
        <v>1400</v>
      </c>
      <c r="D586" s="24" t="s">
        <v>1124</v>
      </c>
      <c r="E586" s="25">
        <v>613143</v>
      </c>
      <c r="F586" s="24" t="s">
        <v>1097</v>
      </c>
      <c r="G586" s="46" t="s">
        <v>1401</v>
      </c>
      <c r="H586" s="47" t="s">
        <v>708</v>
      </c>
      <c r="I586" s="47" t="s">
        <v>709</v>
      </c>
      <c r="J586" s="29">
        <v>43846</v>
      </c>
      <c r="K586" s="1">
        <v>140.8</v>
      </c>
      <c r="L586" s="27"/>
      <c r="M586" s="27"/>
      <c r="N586" s="1"/>
      <c r="O586" s="45">
        <v>44223</v>
      </c>
      <c r="P586" s="1"/>
    </row>
    <row r="587" ht="26" spans="2:16">
      <c r="B587" s="1">
        <v>586</v>
      </c>
      <c r="C587" s="24" t="s">
        <v>1402</v>
      </c>
      <c r="D587" s="24" t="s">
        <v>1403</v>
      </c>
      <c r="E587" s="25">
        <v>347000</v>
      </c>
      <c r="F587" s="24" t="s">
        <v>1404</v>
      </c>
      <c r="G587" s="46" t="s">
        <v>1405</v>
      </c>
      <c r="H587" s="47" t="s">
        <v>708</v>
      </c>
      <c r="I587" s="53" t="s">
        <v>884</v>
      </c>
      <c r="J587" s="29">
        <v>44022</v>
      </c>
      <c r="K587" s="1">
        <v>240</v>
      </c>
      <c r="L587" s="27"/>
      <c r="M587" s="27"/>
      <c r="N587" s="1"/>
      <c r="O587" s="45">
        <v>44223</v>
      </c>
      <c r="P587" s="1"/>
    </row>
    <row r="588" spans="2:16">
      <c r="B588" s="1">
        <v>587</v>
      </c>
      <c r="C588" s="24" t="s">
        <v>1406</v>
      </c>
      <c r="D588" s="24" t="s">
        <v>546</v>
      </c>
      <c r="E588" s="25"/>
      <c r="F588" s="24" t="s">
        <v>1407</v>
      </c>
      <c r="G588" s="24"/>
      <c r="H588" s="1"/>
      <c r="I588" s="1"/>
      <c r="J588" s="29">
        <v>43617</v>
      </c>
      <c r="K588" s="1">
        <v>30.4</v>
      </c>
      <c r="L588" s="27"/>
      <c r="M588" s="27"/>
      <c r="N588" s="1"/>
      <c r="O588" s="45">
        <v>44223</v>
      </c>
      <c r="P588" s="1"/>
    </row>
    <row r="589" spans="2:16">
      <c r="B589" s="1">
        <v>588</v>
      </c>
      <c r="C589" s="24" t="s">
        <v>1408</v>
      </c>
      <c r="D589" s="24" t="s">
        <v>546</v>
      </c>
      <c r="E589" s="25"/>
      <c r="F589" s="24" t="s">
        <v>1409</v>
      </c>
      <c r="G589" s="24"/>
      <c r="H589" s="1"/>
      <c r="I589" s="1"/>
      <c r="J589" s="29">
        <v>43497</v>
      </c>
      <c r="K589" s="1">
        <v>30.4</v>
      </c>
      <c r="L589" s="27"/>
      <c r="M589" s="27"/>
      <c r="N589" s="1"/>
      <c r="O589" s="45">
        <v>44223</v>
      </c>
      <c r="P589" s="1"/>
    </row>
    <row r="590" spans="2:16">
      <c r="B590" s="1">
        <v>589</v>
      </c>
      <c r="C590" s="24" t="s">
        <v>1410</v>
      </c>
      <c r="D590" s="24" t="s">
        <v>546</v>
      </c>
      <c r="E590" s="25"/>
      <c r="F590" s="24" t="s">
        <v>1409</v>
      </c>
      <c r="G590" s="24"/>
      <c r="H590" s="1"/>
      <c r="I590" s="1"/>
      <c r="J590" s="29">
        <v>43497</v>
      </c>
      <c r="K590" s="1">
        <v>30.4</v>
      </c>
      <c r="L590" s="27"/>
      <c r="M590" s="27"/>
      <c r="N590" s="1"/>
      <c r="O590" s="45">
        <v>44223</v>
      </c>
      <c r="P590" s="1"/>
    </row>
    <row r="591" spans="2:16">
      <c r="B591" s="1">
        <v>590</v>
      </c>
      <c r="C591" s="24" t="s">
        <v>1411</v>
      </c>
      <c r="D591" s="24" t="s">
        <v>546</v>
      </c>
      <c r="E591" s="25"/>
      <c r="F591" s="24" t="s">
        <v>1409</v>
      </c>
      <c r="G591" s="24"/>
      <c r="H591" s="1"/>
      <c r="I591" s="1"/>
      <c r="J591" s="29">
        <v>43313</v>
      </c>
      <c r="K591" s="1">
        <v>33.6</v>
      </c>
      <c r="L591" s="27"/>
      <c r="M591" s="27"/>
      <c r="N591" s="1"/>
      <c r="O591" s="45">
        <v>44223</v>
      </c>
      <c r="P591" s="1"/>
    </row>
    <row r="592" ht="26" spans="2:16">
      <c r="B592" s="1">
        <v>591</v>
      </c>
      <c r="C592" s="24" t="s">
        <v>1412</v>
      </c>
      <c r="D592" s="24" t="s">
        <v>546</v>
      </c>
      <c r="E592" s="25"/>
      <c r="F592" s="24" t="s">
        <v>1409</v>
      </c>
      <c r="G592" s="24"/>
      <c r="H592" s="1"/>
      <c r="I592" s="1"/>
      <c r="J592" s="29">
        <v>43647</v>
      </c>
      <c r="K592" s="1">
        <v>46.4</v>
      </c>
      <c r="L592" s="27"/>
      <c r="M592" s="27"/>
      <c r="N592" s="1"/>
      <c r="O592" s="45">
        <v>44223</v>
      </c>
      <c r="P592" s="1"/>
    </row>
    <row r="593" ht="39" spans="2:16">
      <c r="B593" s="1">
        <v>592</v>
      </c>
      <c r="C593" s="24" t="s">
        <v>1413</v>
      </c>
      <c r="D593" s="24" t="s">
        <v>546</v>
      </c>
      <c r="E593" s="25"/>
      <c r="F593" s="24" t="s">
        <v>868</v>
      </c>
      <c r="G593" s="24"/>
      <c r="H593" s="1"/>
      <c r="I593" s="1"/>
      <c r="J593" s="29">
        <v>43678</v>
      </c>
      <c r="K593" s="1">
        <v>39.2</v>
      </c>
      <c r="L593" s="27"/>
      <c r="M593" s="27"/>
      <c r="N593" s="1"/>
      <c r="O593" s="45">
        <v>44223</v>
      </c>
      <c r="P593" s="1"/>
    </row>
    <row r="594" spans="2:16">
      <c r="B594" s="1">
        <v>593</v>
      </c>
      <c r="C594" s="24" t="s">
        <v>1414</v>
      </c>
      <c r="D594" s="24" t="s">
        <v>546</v>
      </c>
      <c r="E594" s="25"/>
      <c r="F594" s="24" t="s">
        <v>1097</v>
      </c>
      <c r="G594" s="24"/>
      <c r="H594" s="1"/>
      <c r="I594" s="1"/>
      <c r="J594" s="29">
        <v>43800</v>
      </c>
      <c r="K594" s="1">
        <v>15.6</v>
      </c>
      <c r="L594" s="27"/>
      <c r="M594" s="27"/>
      <c r="N594" s="1"/>
      <c r="O594" s="45">
        <v>44223</v>
      </c>
      <c r="P594" s="1"/>
    </row>
    <row r="595" ht="39" spans="2:16">
      <c r="B595" s="1">
        <v>594</v>
      </c>
      <c r="C595" s="24" t="s">
        <v>1415</v>
      </c>
      <c r="D595" s="24" t="s">
        <v>546</v>
      </c>
      <c r="E595" s="25"/>
      <c r="F595" s="24" t="s">
        <v>1097</v>
      </c>
      <c r="G595" s="24"/>
      <c r="H595" s="1"/>
      <c r="I595" s="1"/>
      <c r="J595" s="29">
        <v>43678</v>
      </c>
      <c r="K595" s="1">
        <v>15.6</v>
      </c>
      <c r="L595" s="27"/>
      <c r="M595" s="27"/>
      <c r="N595" s="1"/>
      <c r="O595" s="45">
        <v>44223</v>
      </c>
      <c r="P595" s="1"/>
    </row>
    <row r="596" ht="26" spans="2:16">
      <c r="B596" s="1">
        <v>595</v>
      </c>
      <c r="C596" s="24" t="s">
        <v>1416</v>
      </c>
      <c r="D596" s="24" t="s">
        <v>546</v>
      </c>
      <c r="E596" s="25"/>
      <c r="F596" s="24" t="s">
        <v>1097</v>
      </c>
      <c r="G596" s="24"/>
      <c r="H596" s="1"/>
      <c r="I596" s="1"/>
      <c r="J596" s="29">
        <v>43647</v>
      </c>
      <c r="K596" s="1">
        <v>200</v>
      </c>
      <c r="L596" s="27"/>
      <c r="M596" s="27"/>
      <c r="N596" s="1"/>
      <c r="O596" s="45">
        <v>44223</v>
      </c>
      <c r="P596" s="1"/>
    </row>
    <row r="597" ht="26" spans="2:16">
      <c r="B597" s="1">
        <v>596</v>
      </c>
      <c r="C597" s="24" t="s">
        <v>1417</v>
      </c>
      <c r="D597" s="24" t="s">
        <v>546</v>
      </c>
      <c r="E597" s="25"/>
      <c r="F597" s="24" t="s">
        <v>1097</v>
      </c>
      <c r="G597" s="24"/>
      <c r="H597" s="1"/>
      <c r="I597" s="1"/>
      <c r="J597" s="29">
        <v>43497</v>
      </c>
      <c r="K597" s="1">
        <v>180</v>
      </c>
      <c r="L597" s="27"/>
      <c r="M597" s="27"/>
      <c r="N597" s="1"/>
      <c r="O597" s="45">
        <v>44223</v>
      </c>
      <c r="P597" s="1"/>
    </row>
    <row r="598" ht="39" spans="2:16">
      <c r="B598" s="1">
        <v>597</v>
      </c>
      <c r="C598" s="24" t="s">
        <v>1418</v>
      </c>
      <c r="D598" s="24" t="s">
        <v>546</v>
      </c>
      <c r="E598" s="25"/>
      <c r="F598" s="24" t="s">
        <v>1097</v>
      </c>
      <c r="G598" s="24"/>
      <c r="H598" s="1"/>
      <c r="I598" s="1"/>
      <c r="J598" s="29">
        <v>42856</v>
      </c>
      <c r="K598" s="1">
        <v>150</v>
      </c>
      <c r="L598" s="27"/>
      <c r="M598" s="27"/>
      <c r="N598" s="1"/>
      <c r="O598" s="45">
        <v>44223</v>
      </c>
      <c r="P598" s="1"/>
    </row>
    <row r="599" ht="48.6" customHeight="1" spans="2:16">
      <c r="B599" s="1">
        <v>598</v>
      </c>
      <c r="C599" s="24" t="s">
        <v>1095</v>
      </c>
      <c r="D599" s="24" t="s">
        <v>546</v>
      </c>
      <c r="E599" s="25"/>
      <c r="F599" s="24" t="s">
        <v>1097</v>
      </c>
      <c r="G599" s="24"/>
      <c r="H599" s="1"/>
      <c r="I599" s="1"/>
      <c r="J599" s="29">
        <v>43374</v>
      </c>
      <c r="K599" s="1">
        <v>25</v>
      </c>
      <c r="L599" s="27"/>
      <c r="M599" s="27"/>
      <c r="N599" s="1"/>
      <c r="O599" s="45">
        <v>44223</v>
      </c>
      <c r="P599" s="1"/>
    </row>
    <row r="600" ht="26" spans="2:16">
      <c r="B600" s="1">
        <v>599</v>
      </c>
      <c r="C600" s="24" t="s">
        <v>1419</v>
      </c>
      <c r="D600" s="24" t="s">
        <v>1420</v>
      </c>
      <c r="E600" s="59">
        <v>37015</v>
      </c>
      <c r="F600" s="24" t="s">
        <v>365</v>
      </c>
      <c r="G600" s="46" t="s">
        <v>1294</v>
      </c>
      <c r="H600" s="47" t="s">
        <v>708</v>
      </c>
      <c r="I600" s="53" t="s">
        <v>1364</v>
      </c>
      <c r="J600" s="29">
        <v>44196</v>
      </c>
      <c r="K600" s="1"/>
      <c r="L600" s="27"/>
      <c r="M600" s="27"/>
      <c r="N600" s="1"/>
      <c r="O600" s="45">
        <v>44223</v>
      </c>
      <c r="P600" s="1"/>
    </row>
    <row r="601" ht="26" spans="2:16">
      <c r="B601" s="1">
        <v>600</v>
      </c>
      <c r="C601" s="24" t="s">
        <v>1421</v>
      </c>
      <c r="D601" s="24" t="s">
        <v>1346</v>
      </c>
      <c r="E601" s="25">
        <v>233000</v>
      </c>
      <c r="F601" s="24" t="s">
        <v>401</v>
      </c>
      <c r="G601" s="46" t="s">
        <v>1422</v>
      </c>
      <c r="H601" s="47" t="s">
        <v>709</v>
      </c>
      <c r="I601" s="47" t="s">
        <v>709</v>
      </c>
      <c r="J601" s="29">
        <v>44084</v>
      </c>
      <c r="K601" s="1"/>
      <c r="L601" s="27"/>
      <c r="M601" s="27"/>
      <c r="N601" s="1"/>
      <c r="O601" s="45">
        <v>44223</v>
      </c>
      <c r="P601" s="1"/>
    </row>
    <row r="602" ht="26" spans="2:16">
      <c r="B602" s="1">
        <v>601</v>
      </c>
      <c r="C602" s="24" t="s">
        <v>1423</v>
      </c>
      <c r="D602" s="24" t="s">
        <v>1346</v>
      </c>
      <c r="E602" s="59">
        <v>17.21</v>
      </c>
      <c r="F602" s="24" t="s">
        <v>1424</v>
      </c>
      <c r="G602" s="46" t="s">
        <v>1422</v>
      </c>
      <c r="H602" s="47" t="s">
        <v>709</v>
      </c>
      <c r="I602" s="47" t="s">
        <v>709</v>
      </c>
      <c r="J602" s="29">
        <v>44142</v>
      </c>
      <c r="K602" s="1"/>
      <c r="L602" s="27"/>
      <c r="M602" s="27"/>
      <c r="N602" s="1"/>
      <c r="O602" s="45">
        <v>44223</v>
      </c>
      <c r="P602" s="1"/>
    </row>
    <row r="603" ht="26" spans="2:16">
      <c r="B603" s="1">
        <v>602</v>
      </c>
      <c r="C603" s="24" t="s">
        <v>1425</v>
      </c>
      <c r="D603" s="24" t="s">
        <v>1346</v>
      </c>
      <c r="E603" s="59">
        <v>42.6</v>
      </c>
      <c r="F603" s="24" t="s">
        <v>1426</v>
      </c>
      <c r="G603" s="46" t="s">
        <v>1422</v>
      </c>
      <c r="H603" s="47" t="s">
        <v>709</v>
      </c>
      <c r="I603" s="47" t="s">
        <v>709</v>
      </c>
      <c r="J603" s="29">
        <v>44142</v>
      </c>
      <c r="K603" s="1"/>
      <c r="L603" s="27"/>
      <c r="M603" s="27"/>
      <c r="N603" s="1"/>
      <c r="O603" s="45">
        <v>44223</v>
      </c>
      <c r="P603" s="1"/>
    </row>
    <row r="604" ht="26" spans="2:16">
      <c r="B604" s="1">
        <v>603</v>
      </c>
      <c r="C604" s="24" t="s">
        <v>1427</v>
      </c>
      <c r="D604" s="24" t="s">
        <v>1029</v>
      </c>
      <c r="E604" s="25"/>
      <c r="F604" s="24" t="s">
        <v>1428</v>
      </c>
      <c r="G604" s="46" t="s">
        <v>1429</v>
      </c>
      <c r="H604" s="47" t="s">
        <v>884</v>
      </c>
      <c r="I604" s="60" t="s">
        <v>709</v>
      </c>
      <c r="J604" s="29">
        <v>43647</v>
      </c>
      <c r="K604" s="1">
        <v>9.8</v>
      </c>
      <c r="L604" s="27"/>
      <c r="M604" s="27"/>
      <c r="N604" s="1"/>
      <c r="O604" s="45">
        <v>44245</v>
      </c>
      <c r="P604" s="1"/>
    </row>
    <row r="605" ht="39" spans="2:16">
      <c r="B605" s="1">
        <v>604</v>
      </c>
      <c r="C605" s="24" t="s">
        <v>1430</v>
      </c>
      <c r="D605" s="24" t="s">
        <v>1029</v>
      </c>
      <c r="E605" s="25"/>
      <c r="F605" s="24" t="s">
        <v>1097</v>
      </c>
      <c r="G605" s="46" t="s">
        <v>1431</v>
      </c>
      <c r="H605" s="47" t="s">
        <v>1031</v>
      </c>
      <c r="I605" s="60" t="s">
        <v>709</v>
      </c>
      <c r="J605" s="29">
        <v>43678</v>
      </c>
      <c r="K605" s="1">
        <v>19.5</v>
      </c>
      <c r="L605" s="27"/>
      <c r="M605" s="27"/>
      <c r="N605" s="1"/>
      <c r="O605" s="45">
        <v>44245</v>
      </c>
      <c r="P605" s="1"/>
    </row>
    <row r="606" ht="26" spans="2:16">
      <c r="B606" s="1">
        <v>605</v>
      </c>
      <c r="C606" s="24" t="s">
        <v>1432</v>
      </c>
      <c r="D606" s="24" t="s">
        <v>1029</v>
      </c>
      <c r="E606" s="25">
        <v>4337517.86</v>
      </c>
      <c r="F606" s="24" t="s">
        <v>1428</v>
      </c>
      <c r="G606" s="46" t="s">
        <v>1429</v>
      </c>
      <c r="H606" s="47" t="s">
        <v>1031</v>
      </c>
      <c r="I606" s="60" t="s">
        <v>709</v>
      </c>
      <c r="J606" s="29">
        <v>44071</v>
      </c>
      <c r="K606" s="1">
        <v>9.5</v>
      </c>
      <c r="L606" s="27"/>
      <c r="M606" s="27"/>
      <c r="N606" s="1"/>
      <c r="O606" s="45">
        <v>44245</v>
      </c>
      <c r="P606" s="1"/>
    </row>
    <row r="607" ht="26" spans="2:16">
      <c r="B607" s="1">
        <v>606</v>
      </c>
      <c r="C607" s="24" t="s">
        <v>1433</v>
      </c>
      <c r="D607" s="24" t="s">
        <v>1029</v>
      </c>
      <c r="E607" s="25">
        <v>282.59</v>
      </c>
      <c r="F607" s="24" t="s">
        <v>1428</v>
      </c>
      <c r="G607" s="46" t="s">
        <v>1429</v>
      </c>
      <c r="H607" s="47" t="s">
        <v>1031</v>
      </c>
      <c r="I607" s="60" t="s">
        <v>709</v>
      </c>
      <c r="J607" s="29">
        <v>44049</v>
      </c>
      <c r="K607" s="1">
        <v>9.5</v>
      </c>
      <c r="L607" s="27"/>
      <c r="M607" s="27"/>
      <c r="N607" s="1"/>
      <c r="O607" s="45">
        <v>44245</v>
      </c>
      <c r="P607" s="1"/>
    </row>
    <row r="608" ht="39" spans="2:16">
      <c r="B608" s="1">
        <v>607</v>
      </c>
      <c r="C608" s="24" t="s">
        <v>1434</v>
      </c>
      <c r="D608" s="24" t="s">
        <v>1029</v>
      </c>
      <c r="E608" s="25"/>
      <c r="F608" s="24" t="s">
        <v>868</v>
      </c>
      <c r="G608" s="46" t="s">
        <v>1435</v>
      </c>
      <c r="H608" s="47" t="s">
        <v>1031</v>
      </c>
      <c r="I608" s="60" t="s">
        <v>709</v>
      </c>
      <c r="J608" s="29">
        <v>43647</v>
      </c>
      <c r="K608" s="1">
        <v>49</v>
      </c>
      <c r="L608" s="27"/>
      <c r="M608" s="27"/>
      <c r="N608" s="1"/>
      <c r="O608" s="45">
        <v>44245</v>
      </c>
      <c r="P608" s="1"/>
    </row>
    <row r="609" ht="26" spans="2:16">
      <c r="B609" s="1">
        <v>608</v>
      </c>
      <c r="C609" s="24" t="s">
        <v>1436</v>
      </c>
      <c r="D609" s="24" t="s">
        <v>1029</v>
      </c>
      <c r="E609" s="25"/>
      <c r="F609" s="24" t="s">
        <v>1097</v>
      </c>
      <c r="G609" s="46" t="s">
        <v>1437</v>
      </c>
      <c r="H609" s="47" t="s">
        <v>1031</v>
      </c>
      <c r="I609" s="60" t="s">
        <v>709</v>
      </c>
      <c r="J609" s="29">
        <v>43466</v>
      </c>
      <c r="K609" s="1">
        <v>38</v>
      </c>
      <c r="L609" s="27"/>
      <c r="M609" s="27"/>
      <c r="N609" s="1"/>
      <c r="O609" s="45">
        <v>44245</v>
      </c>
      <c r="P609" s="1"/>
    </row>
    <row r="610" ht="26" spans="2:16">
      <c r="B610" s="1">
        <v>609</v>
      </c>
      <c r="C610" s="24" t="s">
        <v>1438</v>
      </c>
      <c r="D610" s="24" t="s">
        <v>1029</v>
      </c>
      <c r="E610" s="25"/>
      <c r="F610" s="24" t="s">
        <v>1097</v>
      </c>
      <c r="G610" s="46" t="s">
        <v>1437</v>
      </c>
      <c r="H610" s="47" t="s">
        <v>1031</v>
      </c>
      <c r="I610" s="60" t="s">
        <v>709</v>
      </c>
      <c r="J610" s="29">
        <v>43466</v>
      </c>
      <c r="K610" s="1">
        <v>38</v>
      </c>
      <c r="L610" s="27"/>
      <c r="M610" s="27"/>
      <c r="N610" s="1"/>
      <c r="O610" s="45">
        <v>44245</v>
      </c>
      <c r="P610" s="1"/>
    </row>
    <row r="611" ht="26" spans="2:16">
      <c r="B611" s="1">
        <v>610</v>
      </c>
      <c r="C611" s="24" t="s">
        <v>1439</v>
      </c>
      <c r="D611" s="24" t="s">
        <v>1029</v>
      </c>
      <c r="E611" s="25"/>
      <c r="F611" s="24" t="s">
        <v>1097</v>
      </c>
      <c r="G611" s="46" t="s">
        <v>1440</v>
      </c>
      <c r="H611" s="47" t="s">
        <v>1031</v>
      </c>
      <c r="I611" s="60" t="s">
        <v>709</v>
      </c>
      <c r="J611" s="29">
        <v>43612</v>
      </c>
      <c r="K611" s="1">
        <v>38</v>
      </c>
      <c r="L611" s="27"/>
      <c r="M611" s="27"/>
      <c r="N611" s="1"/>
      <c r="O611" s="45">
        <v>44245</v>
      </c>
      <c r="P611" s="1"/>
    </row>
    <row r="612" ht="26" spans="2:16">
      <c r="B612" s="1">
        <v>611</v>
      </c>
      <c r="C612" s="24" t="s">
        <v>1441</v>
      </c>
      <c r="D612" s="24" t="s">
        <v>1029</v>
      </c>
      <c r="E612" s="25">
        <v>870800</v>
      </c>
      <c r="F612" s="24" t="s">
        <v>1428</v>
      </c>
      <c r="G612" s="46" t="s">
        <v>1429</v>
      </c>
      <c r="H612" s="47" t="s">
        <v>1031</v>
      </c>
      <c r="I612" s="60" t="s">
        <v>709</v>
      </c>
      <c r="J612" s="29">
        <v>43922</v>
      </c>
      <c r="K612" s="1">
        <v>9.5</v>
      </c>
      <c r="L612" s="27"/>
      <c r="M612" s="27"/>
      <c r="N612" s="1"/>
      <c r="O612" s="45">
        <v>44245</v>
      </c>
      <c r="P612" s="1"/>
    </row>
    <row r="613" ht="32.4" customHeight="1" spans="2:16">
      <c r="B613" s="1">
        <v>612</v>
      </c>
      <c r="C613" s="24" t="s">
        <v>1442</v>
      </c>
      <c r="D613" s="24" t="s">
        <v>1443</v>
      </c>
      <c r="E613" s="25"/>
      <c r="F613" s="24" t="s">
        <v>1138</v>
      </c>
      <c r="G613" s="46" t="s">
        <v>1444</v>
      </c>
      <c r="H613" s="47" t="s">
        <v>709</v>
      </c>
      <c r="I613" s="60" t="s">
        <v>709</v>
      </c>
      <c r="J613" s="29" t="s">
        <v>709</v>
      </c>
      <c r="K613" s="1">
        <v>280</v>
      </c>
      <c r="L613" s="27"/>
      <c r="M613" s="27"/>
      <c r="N613" s="1"/>
      <c r="O613" s="45">
        <v>44252</v>
      </c>
      <c r="P613" s="1"/>
    </row>
    <row r="614" ht="26" spans="2:16">
      <c r="B614" s="1">
        <v>613</v>
      </c>
      <c r="C614" s="24" t="s">
        <v>1445</v>
      </c>
      <c r="D614" s="24" t="s">
        <v>1286</v>
      </c>
      <c r="E614" s="25"/>
      <c r="F614" s="24" t="s">
        <v>401</v>
      </c>
      <c r="G614" s="46" t="s">
        <v>1446</v>
      </c>
      <c r="H614" s="47" t="s">
        <v>709</v>
      </c>
      <c r="I614" s="60" t="s">
        <v>709</v>
      </c>
      <c r="J614" s="29">
        <v>43593</v>
      </c>
      <c r="K614" s="1"/>
      <c r="L614" s="27"/>
      <c r="M614" s="27"/>
      <c r="N614" s="1"/>
      <c r="O614" s="45">
        <v>44280</v>
      </c>
      <c r="P614" s="1"/>
    </row>
    <row r="615" ht="29.4" customHeight="1" spans="2:16">
      <c r="B615" s="1">
        <v>614</v>
      </c>
      <c r="C615" s="24" t="s">
        <v>1447</v>
      </c>
      <c r="D615" s="24" t="s">
        <v>674</v>
      </c>
      <c r="E615" s="33"/>
      <c r="F615" s="24" t="s">
        <v>954</v>
      </c>
      <c r="G615" s="24"/>
      <c r="H615" s="1"/>
      <c r="I615" s="1"/>
      <c r="J615" s="29">
        <v>44060</v>
      </c>
      <c r="K615" s="1">
        <v>16.111</v>
      </c>
      <c r="L615" s="27"/>
      <c r="M615" s="27"/>
      <c r="N615" s="1"/>
      <c r="O615" s="45">
        <v>44280</v>
      </c>
      <c r="P615" s="1"/>
    </row>
    <row r="616" ht="30" customHeight="1" spans="2:16">
      <c r="B616" s="1">
        <v>615</v>
      </c>
      <c r="C616" s="24" t="s">
        <v>1448</v>
      </c>
      <c r="D616" s="24" t="s">
        <v>1449</v>
      </c>
      <c r="E616" s="25">
        <v>1930848</v>
      </c>
      <c r="F616" s="24" t="s">
        <v>1202</v>
      </c>
      <c r="G616" s="46" t="s">
        <v>1450</v>
      </c>
      <c r="H616" s="47" t="s">
        <v>1031</v>
      </c>
      <c r="I616" s="60" t="s">
        <v>709</v>
      </c>
      <c r="J616" s="29">
        <v>44195</v>
      </c>
      <c r="K616" s="1">
        <v>19.8</v>
      </c>
      <c r="L616" s="27"/>
      <c r="M616" s="27"/>
      <c r="N616" s="1"/>
      <c r="O616" s="45">
        <v>44311</v>
      </c>
      <c r="P616" s="1"/>
    </row>
    <row r="617" ht="40.2" customHeight="1" spans="2:16">
      <c r="B617" s="1">
        <v>616</v>
      </c>
      <c r="C617" s="24" t="s">
        <v>1451</v>
      </c>
      <c r="D617" s="24" t="s">
        <v>1452</v>
      </c>
      <c r="E617" s="25"/>
      <c r="F617" s="24" t="s">
        <v>1428</v>
      </c>
      <c r="G617" s="46" t="s">
        <v>1453</v>
      </c>
      <c r="H617" s="47" t="s">
        <v>709</v>
      </c>
      <c r="I617" s="60" t="s">
        <v>709</v>
      </c>
      <c r="J617" s="61">
        <v>44305</v>
      </c>
      <c r="K617" s="1">
        <v>90</v>
      </c>
      <c r="L617" s="27"/>
      <c r="M617" s="27"/>
      <c r="N617" s="1"/>
      <c r="O617" s="45">
        <v>44311</v>
      </c>
      <c r="P617" s="1"/>
    </row>
    <row r="618" ht="26" spans="2:16">
      <c r="B618" s="1">
        <v>617</v>
      </c>
      <c r="C618" s="24" t="s">
        <v>1454</v>
      </c>
      <c r="D618" s="24" t="s">
        <v>791</v>
      </c>
      <c r="E618" s="25">
        <v>440000</v>
      </c>
      <c r="F618" s="24" t="s">
        <v>1455</v>
      </c>
      <c r="G618" s="46" t="s">
        <v>1456</v>
      </c>
      <c r="H618" s="47" t="s">
        <v>1457</v>
      </c>
      <c r="I618" s="60" t="s">
        <v>709</v>
      </c>
      <c r="J618" s="29">
        <v>44027</v>
      </c>
      <c r="K618" s="1">
        <v>41.85</v>
      </c>
      <c r="L618" s="27"/>
      <c r="M618" s="27"/>
      <c r="N618" s="1"/>
      <c r="O618" s="45">
        <v>44314</v>
      </c>
      <c r="P618" s="1"/>
    </row>
    <row r="619" ht="26" spans="2:16">
      <c r="B619" s="1">
        <v>618</v>
      </c>
      <c r="C619" s="24" t="s">
        <v>1458</v>
      </c>
      <c r="D619" s="24" t="s">
        <v>791</v>
      </c>
      <c r="E619" s="25">
        <v>4385648</v>
      </c>
      <c r="F619" s="24" t="s">
        <v>733</v>
      </c>
      <c r="G619" s="46" t="s">
        <v>1459</v>
      </c>
      <c r="H619" s="47" t="s">
        <v>884</v>
      </c>
      <c r="I619" s="60" t="s">
        <v>709</v>
      </c>
      <c r="J619" s="29">
        <v>43983</v>
      </c>
      <c r="K619" s="1">
        <v>22.55</v>
      </c>
      <c r="L619" s="27"/>
      <c r="M619" s="27"/>
      <c r="N619" s="1"/>
      <c r="O619" s="45">
        <v>44314</v>
      </c>
      <c r="P619" s="1"/>
    </row>
    <row r="620" ht="26" spans="2:16">
      <c r="B620" s="1">
        <v>619</v>
      </c>
      <c r="C620" s="24" t="s">
        <v>1460</v>
      </c>
      <c r="D620" s="24" t="s">
        <v>1420</v>
      </c>
      <c r="E620" s="33"/>
      <c r="F620" s="24" t="s">
        <v>1173</v>
      </c>
      <c r="G620" s="46" t="s">
        <v>1461</v>
      </c>
      <c r="H620" s="47" t="s">
        <v>708</v>
      </c>
      <c r="I620" s="60" t="s">
        <v>709</v>
      </c>
      <c r="J620" s="29">
        <v>44068</v>
      </c>
      <c r="K620" s="1">
        <v>1</v>
      </c>
      <c r="L620" s="27"/>
      <c r="M620" s="27"/>
      <c r="N620" s="1"/>
      <c r="O620" s="45">
        <v>44341</v>
      </c>
      <c r="P620" s="1"/>
    </row>
    <row r="621" ht="36" customHeight="1" spans="2:16">
      <c r="B621" s="1">
        <v>620</v>
      </c>
      <c r="C621" s="24" t="s">
        <v>1462</v>
      </c>
      <c r="D621" s="24" t="s">
        <v>1061</v>
      </c>
      <c r="E621" s="25"/>
      <c r="F621" s="24" t="s">
        <v>1202</v>
      </c>
      <c r="G621" s="46" t="s">
        <v>1463</v>
      </c>
      <c r="H621" s="47" t="s">
        <v>709</v>
      </c>
      <c r="I621" s="60" t="s">
        <v>709</v>
      </c>
      <c r="J621" s="29">
        <v>43781</v>
      </c>
      <c r="K621" s="1">
        <v>101.76</v>
      </c>
      <c r="L621" s="27"/>
      <c r="M621" s="27"/>
      <c r="N621" s="1"/>
      <c r="O621" s="45">
        <v>44341</v>
      </c>
      <c r="P621" s="1"/>
    </row>
    <row r="622" ht="52" spans="2:16">
      <c r="B622" s="1">
        <v>621</v>
      </c>
      <c r="C622" s="24" t="s">
        <v>1464</v>
      </c>
      <c r="D622" s="24" t="s">
        <v>1465</v>
      </c>
      <c r="E622" s="25">
        <v>652000</v>
      </c>
      <c r="F622" s="24" t="s">
        <v>1466</v>
      </c>
      <c r="G622" s="46" t="s">
        <v>1467</v>
      </c>
      <c r="H622" s="47" t="s">
        <v>708</v>
      </c>
      <c r="I622" s="60" t="s">
        <v>884</v>
      </c>
      <c r="J622" s="29">
        <v>44274</v>
      </c>
      <c r="K622" s="1">
        <v>280</v>
      </c>
      <c r="L622" s="27"/>
      <c r="M622" s="27"/>
      <c r="N622" s="1"/>
      <c r="O622" s="45">
        <v>44341</v>
      </c>
      <c r="P622" s="1"/>
    </row>
    <row r="623" ht="52" spans="2:16">
      <c r="B623" s="1">
        <v>622</v>
      </c>
      <c r="C623" s="24" t="s">
        <v>1468</v>
      </c>
      <c r="D623" s="24" t="s">
        <v>1465</v>
      </c>
      <c r="E623" s="25">
        <v>4785610</v>
      </c>
      <c r="F623" s="24" t="s">
        <v>1466</v>
      </c>
      <c r="G623" s="46" t="s">
        <v>1469</v>
      </c>
      <c r="H623" s="47" t="s">
        <v>708</v>
      </c>
      <c r="I623" s="60" t="s">
        <v>884</v>
      </c>
      <c r="J623" s="29">
        <v>44327</v>
      </c>
      <c r="K623" s="1">
        <v>823</v>
      </c>
      <c r="L623" s="27"/>
      <c r="M623" s="27"/>
      <c r="N623" s="1"/>
      <c r="O623" s="45">
        <v>44341</v>
      </c>
      <c r="P623" s="1"/>
    </row>
    <row r="624" ht="26" spans="2:16">
      <c r="B624" s="1">
        <v>623</v>
      </c>
      <c r="C624" s="24" t="s">
        <v>1470</v>
      </c>
      <c r="D624" s="24" t="s">
        <v>1029</v>
      </c>
      <c r="E624" s="25">
        <v>4121900</v>
      </c>
      <c r="F624" s="24" t="s">
        <v>1466</v>
      </c>
      <c r="G624" s="46" t="s">
        <v>1471</v>
      </c>
      <c r="H624" s="47" t="s">
        <v>1031</v>
      </c>
      <c r="I624" s="60" t="s">
        <v>709</v>
      </c>
      <c r="J624" s="29">
        <v>44323</v>
      </c>
      <c r="K624" s="1">
        <v>164.6</v>
      </c>
      <c r="L624" s="27"/>
      <c r="M624" s="27"/>
      <c r="N624" s="1">
        <v>3</v>
      </c>
      <c r="O624" s="45">
        <v>44341</v>
      </c>
      <c r="P624" s="1" t="s">
        <v>1472</v>
      </c>
    </row>
    <row r="625" ht="52" spans="2:16">
      <c r="B625" s="1">
        <v>624</v>
      </c>
      <c r="C625" s="24" t="s">
        <v>1473</v>
      </c>
      <c r="D625" s="24" t="s">
        <v>1474</v>
      </c>
      <c r="E625" s="25">
        <v>860300</v>
      </c>
      <c r="F625" s="24" t="s">
        <v>1176</v>
      </c>
      <c r="G625" s="46" t="s">
        <v>1475</v>
      </c>
      <c r="H625" s="47" t="s">
        <v>1067</v>
      </c>
      <c r="I625" s="60" t="s">
        <v>709</v>
      </c>
      <c r="J625" s="29">
        <v>44223</v>
      </c>
      <c r="K625" s="1"/>
      <c r="L625" s="27"/>
      <c r="M625" s="27"/>
      <c r="N625" s="1"/>
      <c r="O625" s="45">
        <v>44355</v>
      </c>
      <c r="P625" s="1"/>
    </row>
    <row r="626" ht="52" spans="2:16">
      <c r="B626" s="1">
        <v>625</v>
      </c>
      <c r="C626" s="24" t="s">
        <v>1476</v>
      </c>
      <c r="D626" s="24" t="s">
        <v>1474</v>
      </c>
      <c r="E626" s="25">
        <v>10500</v>
      </c>
      <c r="F626" s="24" t="s">
        <v>1176</v>
      </c>
      <c r="G626" s="46" t="s">
        <v>1475</v>
      </c>
      <c r="H626" s="47" t="s">
        <v>1067</v>
      </c>
      <c r="I626" s="60" t="s">
        <v>709</v>
      </c>
      <c r="J626" s="29">
        <v>44223</v>
      </c>
      <c r="K626" s="1"/>
      <c r="L626" s="27"/>
      <c r="M626" s="27"/>
      <c r="N626" s="1"/>
      <c r="O626" s="45">
        <v>44355</v>
      </c>
      <c r="P626" s="1"/>
    </row>
    <row r="627" ht="52" spans="2:16">
      <c r="B627" s="1">
        <v>626</v>
      </c>
      <c r="C627" s="24" t="s">
        <v>1477</v>
      </c>
      <c r="D627" s="24" t="s">
        <v>1478</v>
      </c>
      <c r="E627" s="25">
        <v>2417000</v>
      </c>
      <c r="F627" s="24" t="s">
        <v>456</v>
      </c>
      <c r="G627" s="46" t="s">
        <v>1479</v>
      </c>
      <c r="H627" s="47" t="s">
        <v>1311</v>
      </c>
      <c r="I627" s="60" t="s">
        <v>709</v>
      </c>
      <c r="J627" s="29">
        <v>44019</v>
      </c>
      <c r="K627" s="1"/>
      <c r="L627" s="27"/>
      <c r="M627" s="27"/>
      <c r="N627" s="1"/>
      <c r="O627" s="45">
        <v>44355</v>
      </c>
      <c r="P627" s="1"/>
    </row>
    <row r="628" ht="39" spans="2:16">
      <c r="B628" s="1">
        <v>627</v>
      </c>
      <c r="C628" s="24" t="s">
        <v>1480</v>
      </c>
      <c r="D628" s="24" t="s">
        <v>1179</v>
      </c>
      <c r="E628" s="25"/>
      <c r="F628" s="24" t="s">
        <v>954</v>
      </c>
      <c r="G628" s="46" t="s">
        <v>1481</v>
      </c>
      <c r="H628" s="47" t="s">
        <v>709</v>
      </c>
      <c r="I628" s="60" t="s">
        <v>709</v>
      </c>
      <c r="J628" s="29">
        <v>43755</v>
      </c>
      <c r="K628" s="1"/>
      <c r="L628" s="27"/>
      <c r="M628" s="27"/>
      <c r="N628" s="1"/>
      <c r="O628" s="45">
        <v>44398</v>
      </c>
      <c r="P628" s="1"/>
    </row>
    <row r="629" ht="39" spans="2:16">
      <c r="B629" s="1">
        <v>628</v>
      </c>
      <c r="C629" s="24" t="s">
        <v>1482</v>
      </c>
      <c r="D629" s="24" t="s">
        <v>1175</v>
      </c>
      <c r="E629" s="25"/>
      <c r="F629" s="24" t="s">
        <v>954</v>
      </c>
      <c r="G629" s="46" t="s">
        <v>1481</v>
      </c>
      <c r="H629" s="47" t="s">
        <v>709</v>
      </c>
      <c r="I629" s="60" t="s">
        <v>709</v>
      </c>
      <c r="J629" s="29">
        <v>43755</v>
      </c>
      <c r="K629" s="1"/>
      <c r="L629" s="27"/>
      <c r="M629" s="27"/>
      <c r="N629" s="1"/>
      <c r="O629" s="45">
        <v>44398</v>
      </c>
      <c r="P629" s="1"/>
    </row>
    <row r="630" ht="26" spans="2:16">
      <c r="B630" s="1">
        <v>629</v>
      </c>
      <c r="C630" s="24" t="s">
        <v>1483</v>
      </c>
      <c r="D630" s="24" t="s">
        <v>1484</v>
      </c>
      <c r="E630" s="33"/>
      <c r="F630" s="24" t="s">
        <v>1485</v>
      </c>
      <c r="G630" s="46" t="s">
        <v>1486</v>
      </c>
      <c r="H630" s="47" t="s">
        <v>708</v>
      </c>
      <c r="I630" s="60" t="s">
        <v>709</v>
      </c>
      <c r="J630" s="29">
        <v>44056</v>
      </c>
      <c r="K630" s="1"/>
      <c r="L630" s="27"/>
      <c r="M630" s="27"/>
      <c r="N630" s="1"/>
      <c r="O630" s="45">
        <v>44398</v>
      </c>
      <c r="P630" s="1"/>
    </row>
    <row r="631" ht="26" spans="2:16">
      <c r="B631" s="1">
        <v>630</v>
      </c>
      <c r="C631" s="24" t="s">
        <v>1487</v>
      </c>
      <c r="D631" s="24" t="s">
        <v>1346</v>
      </c>
      <c r="E631" s="25">
        <v>19.63</v>
      </c>
      <c r="F631" s="24" t="s">
        <v>1488</v>
      </c>
      <c r="G631" s="46" t="s">
        <v>1489</v>
      </c>
      <c r="H631" s="47" t="s">
        <v>709</v>
      </c>
      <c r="I631" s="60" t="s">
        <v>709</v>
      </c>
      <c r="J631" s="29">
        <v>44196</v>
      </c>
      <c r="K631" s="1"/>
      <c r="L631" s="27"/>
      <c r="M631" s="27"/>
      <c r="N631" s="1"/>
      <c r="O631" s="45">
        <v>44398</v>
      </c>
      <c r="P631" s="1"/>
    </row>
    <row r="632" ht="39" spans="2:16">
      <c r="B632" s="1">
        <v>631</v>
      </c>
      <c r="C632" s="24" t="s">
        <v>1490</v>
      </c>
      <c r="D632" s="24" t="s">
        <v>1346</v>
      </c>
      <c r="E632" s="25">
        <v>47.97</v>
      </c>
      <c r="F632" s="24" t="s">
        <v>1488</v>
      </c>
      <c r="G632" s="46" t="s">
        <v>1489</v>
      </c>
      <c r="H632" s="47" t="s">
        <v>709</v>
      </c>
      <c r="I632" s="60" t="s">
        <v>709</v>
      </c>
      <c r="J632" s="29">
        <v>44196</v>
      </c>
      <c r="K632" s="1"/>
      <c r="L632" s="27"/>
      <c r="M632" s="27"/>
      <c r="N632" s="1"/>
      <c r="O632" s="45">
        <v>44398</v>
      </c>
      <c r="P632" s="1"/>
    </row>
    <row r="633" ht="39" spans="2:16">
      <c r="B633" s="1">
        <v>632</v>
      </c>
      <c r="C633" s="24" t="s">
        <v>1491</v>
      </c>
      <c r="D633" s="24" t="s">
        <v>1346</v>
      </c>
      <c r="E633" s="33"/>
      <c r="F633" s="24" t="s">
        <v>1488</v>
      </c>
      <c r="G633" s="46" t="s">
        <v>1492</v>
      </c>
      <c r="H633" s="47" t="s">
        <v>709</v>
      </c>
      <c r="I633" s="60" t="s">
        <v>709</v>
      </c>
      <c r="J633" s="29">
        <v>44196</v>
      </c>
      <c r="K633" s="1"/>
      <c r="L633" s="27"/>
      <c r="M633" s="27"/>
      <c r="N633" s="1"/>
      <c r="O633" s="45">
        <v>44398</v>
      </c>
      <c r="P633" s="1"/>
    </row>
    <row r="634" ht="26" spans="2:16">
      <c r="B634" s="1">
        <v>633</v>
      </c>
      <c r="C634" s="24" t="s">
        <v>1493</v>
      </c>
      <c r="D634" s="24" t="s">
        <v>1346</v>
      </c>
      <c r="E634" s="25">
        <v>810</v>
      </c>
      <c r="F634" s="24" t="s">
        <v>1488</v>
      </c>
      <c r="G634" s="46" t="s">
        <v>1492</v>
      </c>
      <c r="H634" s="47" t="s">
        <v>709</v>
      </c>
      <c r="I634" s="60" t="s">
        <v>709</v>
      </c>
      <c r="J634" s="29">
        <v>44208</v>
      </c>
      <c r="K634" s="1"/>
      <c r="L634" s="27"/>
      <c r="M634" s="27"/>
      <c r="N634" s="1"/>
      <c r="O634" s="45">
        <v>44398</v>
      </c>
      <c r="P634" s="1"/>
    </row>
    <row r="635" ht="26" spans="2:16">
      <c r="B635" s="1">
        <v>634</v>
      </c>
      <c r="C635" s="24" t="s">
        <v>1494</v>
      </c>
      <c r="D635" s="24" t="s">
        <v>1495</v>
      </c>
      <c r="E635" s="25"/>
      <c r="F635" s="24" t="s">
        <v>1496</v>
      </c>
      <c r="G635" s="46" t="s">
        <v>1497</v>
      </c>
      <c r="H635" s="47" t="s">
        <v>709</v>
      </c>
      <c r="I635" s="60" t="s">
        <v>709</v>
      </c>
      <c r="J635" s="29" t="s">
        <v>1498</v>
      </c>
      <c r="K635" s="1"/>
      <c r="L635" s="27"/>
      <c r="M635" s="27"/>
      <c r="N635" s="1"/>
      <c r="O635" s="45">
        <v>44398</v>
      </c>
      <c r="P635" s="1"/>
    </row>
    <row r="636" ht="26" spans="2:16">
      <c r="B636" s="1">
        <v>635</v>
      </c>
      <c r="C636" s="24" t="s">
        <v>1499</v>
      </c>
      <c r="D636" s="24" t="s">
        <v>1500</v>
      </c>
      <c r="E636" s="25">
        <v>7918000</v>
      </c>
      <c r="F636" s="24" t="s">
        <v>1485</v>
      </c>
      <c r="G636" s="46" t="s">
        <v>1501</v>
      </c>
      <c r="H636" s="47" t="s">
        <v>721</v>
      </c>
      <c r="I636" s="60" t="s">
        <v>709</v>
      </c>
      <c r="J636" s="29">
        <v>44166</v>
      </c>
      <c r="K636" s="1"/>
      <c r="L636" s="27"/>
      <c r="M636" s="27"/>
      <c r="N636" s="1"/>
      <c r="O636" s="45">
        <v>44398</v>
      </c>
      <c r="P636" s="1"/>
    </row>
    <row r="637" ht="39" spans="2:16">
      <c r="B637" s="1">
        <v>636</v>
      </c>
      <c r="C637" s="24" t="s">
        <v>1502</v>
      </c>
      <c r="D637" s="24" t="s">
        <v>1179</v>
      </c>
      <c r="E637" s="25"/>
      <c r="F637" s="24" t="s">
        <v>954</v>
      </c>
      <c r="G637" s="46" t="s">
        <v>1503</v>
      </c>
      <c r="H637" s="47" t="s">
        <v>709</v>
      </c>
      <c r="I637" s="60" t="s">
        <v>709</v>
      </c>
      <c r="J637" s="29">
        <v>43457</v>
      </c>
      <c r="K637" s="1"/>
      <c r="L637" s="27"/>
      <c r="M637" s="27"/>
      <c r="N637" s="1"/>
      <c r="O637" s="45">
        <v>44446</v>
      </c>
      <c r="P637" s="1"/>
    </row>
    <row r="638" ht="39" spans="2:16">
      <c r="B638" s="1">
        <v>637</v>
      </c>
      <c r="C638" s="24" t="s">
        <v>1504</v>
      </c>
      <c r="D638" s="24" t="s">
        <v>1175</v>
      </c>
      <c r="E638" s="25"/>
      <c r="F638" s="24" t="s">
        <v>954</v>
      </c>
      <c r="G638" s="46" t="s">
        <v>1503</v>
      </c>
      <c r="H638" s="47" t="s">
        <v>709</v>
      </c>
      <c r="I638" s="60" t="s">
        <v>709</v>
      </c>
      <c r="J638" s="29">
        <v>43457</v>
      </c>
      <c r="K638" s="1"/>
      <c r="L638" s="27"/>
      <c r="M638" s="27"/>
      <c r="N638" s="1"/>
      <c r="O638" s="45">
        <v>44446</v>
      </c>
      <c r="P638" s="1"/>
    </row>
    <row r="639" ht="26" spans="2:16">
      <c r="B639" s="1">
        <v>638</v>
      </c>
      <c r="C639" s="24" t="s">
        <v>1505</v>
      </c>
      <c r="D639" s="24" t="s">
        <v>1506</v>
      </c>
      <c r="E639" s="25">
        <v>752000</v>
      </c>
      <c r="F639" s="24" t="s">
        <v>954</v>
      </c>
      <c r="G639" s="46" t="s">
        <v>1507</v>
      </c>
      <c r="H639" s="47" t="s">
        <v>709</v>
      </c>
      <c r="I639" s="60" t="s">
        <v>709</v>
      </c>
      <c r="J639" s="29">
        <v>44082</v>
      </c>
      <c r="K639" s="1"/>
      <c r="L639" s="27"/>
      <c r="M639" s="27"/>
      <c r="N639" s="1"/>
      <c r="O639" s="45">
        <v>44446</v>
      </c>
      <c r="P639" s="1"/>
    </row>
    <row r="640" ht="39" spans="2:16">
      <c r="B640" s="1">
        <v>639</v>
      </c>
      <c r="C640" s="24" t="s">
        <v>1508</v>
      </c>
      <c r="D640" s="24" t="s">
        <v>1509</v>
      </c>
      <c r="E640" s="33"/>
      <c r="F640" s="24" t="s">
        <v>365</v>
      </c>
      <c r="G640" s="46" t="s">
        <v>1510</v>
      </c>
      <c r="H640" s="47" t="s">
        <v>1170</v>
      </c>
      <c r="I640" s="60" t="s">
        <v>709</v>
      </c>
      <c r="J640" s="29">
        <v>43922</v>
      </c>
      <c r="K640" s="1">
        <v>2.5685</v>
      </c>
      <c r="L640" s="27"/>
      <c r="M640" s="27"/>
      <c r="N640" s="1"/>
      <c r="O640" s="45">
        <v>44447</v>
      </c>
      <c r="P640" s="1"/>
    </row>
    <row r="641" ht="26" spans="2:16">
      <c r="B641" s="1">
        <v>640</v>
      </c>
      <c r="C641" s="24" t="s">
        <v>1511</v>
      </c>
      <c r="D641" s="24" t="s">
        <v>1509</v>
      </c>
      <c r="E641" s="33"/>
      <c r="F641" s="24" t="s">
        <v>365</v>
      </c>
      <c r="G641" s="46" t="s">
        <v>1510</v>
      </c>
      <c r="H641" s="47" t="s">
        <v>1170</v>
      </c>
      <c r="I641" s="60" t="s">
        <v>709</v>
      </c>
      <c r="J641" s="29">
        <v>43922</v>
      </c>
      <c r="K641" s="1">
        <v>4.0511</v>
      </c>
      <c r="L641" s="27"/>
      <c r="M641" s="27"/>
      <c r="N641" s="1"/>
      <c r="O641" s="45">
        <v>44447</v>
      </c>
      <c r="P641" s="1"/>
    </row>
    <row r="642" ht="26" spans="2:16">
      <c r="B642" s="1">
        <v>641</v>
      </c>
      <c r="C642" s="24" t="s">
        <v>1512</v>
      </c>
      <c r="D642" s="24" t="s">
        <v>1509</v>
      </c>
      <c r="E642" s="33"/>
      <c r="F642" s="24" t="s">
        <v>365</v>
      </c>
      <c r="G642" s="46" t="s">
        <v>1510</v>
      </c>
      <c r="H642" s="47" t="s">
        <v>1170</v>
      </c>
      <c r="I642" s="60" t="s">
        <v>709</v>
      </c>
      <c r="J642" s="29">
        <v>43952</v>
      </c>
      <c r="K642" s="1">
        <v>16.2133</v>
      </c>
      <c r="L642" s="27"/>
      <c r="M642" s="27"/>
      <c r="N642" s="1"/>
      <c r="O642" s="45">
        <v>44447</v>
      </c>
      <c r="P642" s="1"/>
    </row>
    <row r="643" ht="26" spans="2:16">
      <c r="B643" s="1">
        <v>642</v>
      </c>
      <c r="C643" s="24" t="s">
        <v>1513</v>
      </c>
      <c r="D643" s="24" t="s">
        <v>1509</v>
      </c>
      <c r="E643" s="33"/>
      <c r="F643" s="24" t="s">
        <v>401</v>
      </c>
      <c r="G643" s="46" t="s">
        <v>1514</v>
      </c>
      <c r="H643" s="47" t="s">
        <v>709</v>
      </c>
      <c r="I643" s="62" t="s">
        <v>709</v>
      </c>
      <c r="J643" s="29">
        <v>43983</v>
      </c>
      <c r="K643" s="1">
        <v>22.55</v>
      </c>
      <c r="L643" s="27"/>
      <c r="M643" s="27"/>
      <c r="N643" s="1"/>
      <c r="O643" s="45">
        <v>44447</v>
      </c>
      <c r="P643" s="1"/>
    </row>
    <row r="644" ht="26" spans="2:16">
      <c r="B644" s="1">
        <v>643</v>
      </c>
      <c r="C644" s="24" t="s">
        <v>1515</v>
      </c>
      <c r="D644" s="24" t="s">
        <v>1509</v>
      </c>
      <c r="E644" s="33"/>
      <c r="F644" s="24" t="s">
        <v>401</v>
      </c>
      <c r="G644" s="46" t="s">
        <v>1516</v>
      </c>
      <c r="H644" s="47" t="s">
        <v>1170</v>
      </c>
      <c r="I644" s="60" t="s">
        <v>709</v>
      </c>
      <c r="J644" s="29">
        <v>44075</v>
      </c>
      <c r="K644" s="1">
        <v>1.2488</v>
      </c>
      <c r="L644" s="27"/>
      <c r="M644" s="27"/>
      <c r="N644" s="1"/>
      <c r="O644" s="45">
        <v>44447</v>
      </c>
      <c r="P644" s="1"/>
    </row>
    <row r="645" ht="26" spans="2:16">
      <c r="B645" s="63">
        <v>644</v>
      </c>
      <c r="C645" s="24" t="s">
        <v>1517</v>
      </c>
      <c r="D645" s="24" t="s">
        <v>1518</v>
      </c>
      <c r="E645" s="33"/>
      <c r="F645" s="24" t="s">
        <v>1519</v>
      </c>
      <c r="G645" s="46" t="s">
        <v>1520</v>
      </c>
      <c r="H645" s="47" t="s">
        <v>1170</v>
      </c>
      <c r="I645" s="60" t="s">
        <v>709</v>
      </c>
      <c r="J645" s="29">
        <v>43922</v>
      </c>
      <c r="K645" s="1"/>
      <c r="L645" s="27"/>
      <c r="M645" s="27"/>
      <c r="N645" s="1"/>
      <c r="O645" s="45">
        <v>44449</v>
      </c>
      <c r="P645" s="1"/>
    </row>
    <row r="646" ht="26" spans="2:16">
      <c r="B646" s="1">
        <v>645</v>
      </c>
      <c r="C646" s="24" t="s">
        <v>1521</v>
      </c>
      <c r="D646" s="24" t="s">
        <v>1518</v>
      </c>
      <c r="E646" s="33"/>
      <c r="F646" s="24" t="s">
        <v>1519</v>
      </c>
      <c r="G646" s="46" t="s">
        <v>1520</v>
      </c>
      <c r="H646" s="47" t="s">
        <v>1170</v>
      </c>
      <c r="I646" s="60" t="s">
        <v>709</v>
      </c>
      <c r="J646" s="29">
        <v>43922</v>
      </c>
      <c r="K646" s="1"/>
      <c r="L646" s="27"/>
      <c r="M646" s="27"/>
      <c r="N646" s="1"/>
      <c r="O646" s="45">
        <v>44449</v>
      </c>
      <c r="P646" s="1"/>
    </row>
    <row r="647" ht="26" spans="2:16">
      <c r="B647" s="1">
        <v>646</v>
      </c>
      <c r="C647" s="24" t="s">
        <v>1522</v>
      </c>
      <c r="D647" s="24" t="s">
        <v>1518</v>
      </c>
      <c r="E647" s="33"/>
      <c r="F647" s="24" t="s">
        <v>1519</v>
      </c>
      <c r="G647" s="46" t="s">
        <v>1520</v>
      </c>
      <c r="H647" s="47" t="s">
        <v>1170</v>
      </c>
      <c r="I647" s="60" t="s">
        <v>709</v>
      </c>
      <c r="J647" s="29">
        <v>44013</v>
      </c>
      <c r="K647" s="1"/>
      <c r="L647" s="27"/>
      <c r="M647" s="27"/>
      <c r="N647" s="1"/>
      <c r="O647" s="45">
        <v>44449</v>
      </c>
      <c r="P647" s="1"/>
    </row>
    <row r="648" spans="2:16">
      <c r="B648" s="1">
        <v>647</v>
      </c>
      <c r="C648" s="24" t="s">
        <v>1523</v>
      </c>
      <c r="D648" s="24" t="s">
        <v>1518</v>
      </c>
      <c r="E648" s="33"/>
      <c r="F648" s="24" t="s">
        <v>401</v>
      </c>
      <c r="G648" s="46" t="s">
        <v>1516</v>
      </c>
      <c r="H648" s="47" t="s">
        <v>1170</v>
      </c>
      <c r="I648" s="60" t="s">
        <v>709</v>
      </c>
      <c r="J648" s="29">
        <v>44075</v>
      </c>
      <c r="K648" s="1"/>
      <c r="L648" s="27"/>
      <c r="M648" s="27"/>
      <c r="N648" s="1"/>
      <c r="O648" s="45">
        <v>44449</v>
      </c>
      <c r="P648" s="1"/>
    </row>
    <row r="649" ht="26" spans="2:16">
      <c r="B649" s="1">
        <v>648</v>
      </c>
      <c r="C649" s="24" t="s">
        <v>1524</v>
      </c>
      <c r="D649" s="24" t="s">
        <v>1518</v>
      </c>
      <c r="E649" s="33"/>
      <c r="F649" s="24" t="s">
        <v>401</v>
      </c>
      <c r="G649" s="46" t="s">
        <v>1516</v>
      </c>
      <c r="H649" s="47" t="s">
        <v>1170</v>
      </c>
      <c r="I649" s="60" t="s">
        <v>709</v>
      </c>
      <c r="J649" s="29">
        <v>44075</v>
      </c>
      <c r="K649" s="1"/>
      <c r="L649" s="27"/>
      <c r="M649" s="27"/>
      <c r="N649" s="1"/>
      <c r="O649" s="45">
        <v>44449</v>
      </c>
      <c r="P649" s="1"/>
    </row>
    <row r="650" ht="26" spans="2:16">
      <c r="B650" s="1">
        <v>649</v>
      </c>
      <c r="C650" s="24" t="s">
        <v>1525</v>
      </c>
      <c r="D650" s="24" t="s">
        <v>1518</v>
      </c>
      <c r="E650" s="33"/>
      <c r="F650" s="24" t="s">
        <v>1519</v>
      </c>
      <c r="G650" s="46" t="s">
        <v>1520</v>
      </c>
      <c r="H650" s="47" t="s">
        <v>1170</v>
      </c>
      <c r="I650" s="60" t="s">
        <v>709</v>
      </c>
      <c r="J650" s="29">
        <v>44044</v>
      </c>
      <c r="K650" s="1"/>
      <c r="L650" s="27"/>
      <c r="M650" s="27"/>
      <c r="N650" s="1"/>
      <c r="O650" s="45">
        <v>44449</v>
      </c>
      <c r="P650" s="1"/>
    </row>
    <row r="651" ht="26" spans="2:16">
      <c r="B651" s="1">
        <v>650</v>
      </c>
      <c r="C651" s="24" t="s">
        <v>1526</v>
      </c>
      <c r="D651" s="24" t="s">
        <v>1527</v>
      </c>
      <c r="E651" s="33"/>
      <c r="F651" s="24" t="s">
        <v>401</v>
      </c>
      <c r="G651" s="46" t="s">
        <v>1516</v>
      </c>
      <c r="H651" s="47" t="s">
        <v>1170</v>
      </c>
      <c r="I651" s="60" t="s">
        <v>709</v>
      </c>
      <c r="J651" s="29">
        <v>44136</v>
      </c>
      <c r="K651" s="1"/>
      <c r="L651" s="27"/>
      <c r="M651" s="27"/>
      <c r="N651" s="1"/>
      <c r="O651" s="45">
        <v>44449</v>
      </c>
      <c r="P651" s="1"/>
    </row>
    <row r="652" ht="26" spans="2:16">
      <c r="B652" s="1">
        <v>651</v>
      </c>
      <c r="C652" s="24" t="s">
        <v>1528</v>
      </c>
      <c r="D652" s="24" t="s">
        <v>1529</v>
      </c>
      <c r="E652" s="33"/>
      <c r="F652" s="24" t="s">
        <v>401</v>
      </c>
      <c r="G652" s="46" t="s">
        <v>1516</v>
      </c>
      <c r="H652" s="47" t="s">
        <v>1170</v>
      </c>
      <c r="I652" s="60" t="s">
        <v>709</v>
      </c>
      <c r="J652" s="29">
        <v>44105</v>
      </c>
      <c r="K652" s="1"/>
      <c r="L652" s="27"/>
      <c r="M652" s="27"/>
      <c r="N652" s="1"/>
      <c r="O652" s="45">
        <v>44449</v>
      </c>
      <c r="P652" s="1"/>
    </row>
    <row r="653" ht="26" spans="2:16">
      <c r="B653" s="1">
        <v>652</v>
      </c>
      <c r="C653" s="24" t="s">
        <v>1530</v>
      </c>
      <c r="D653" s="24" t="s">
        <v>1531</v>
      </c>
      <c r="E653" s="33"/>
      <c r="F653" s="24" t="s">
        <v>401</v>
      </c>
      <c r="G653" s="46" t="s">
        <v>1516</v>
      </c>
      <c r="H653" s="47" t="s">
        <v>1170</v>
      </c>
      <c r="I653" s="60" t="s">
        <v>709</v>
      </c>
      <c r="J653" s="29">
        <v>44105</v>
      </c>
      <c r="K653" s="1"/>
      <c r="L653" s="27"/>
      <c r="M653" s="27"/>
      <c r="N653" s="1"/>
      <c r="O653" s="45">
        <v>44449</v>
      </c>
      <c r="P653" s="1"/>
    </row>
    <row r="654" ht="26" spans="2:16">
      <c r="B654" s="1">
        <v>653</v>
      </c>
      <c r="C654" s="24" t="s">
        <v>1532</v>
      </c>
      <c r="D654" s="24" t="s">
        <v>1533</v>
      </c>
      <c r="E654" s="1">
        <v>250000</v>
      </c>
      <c r="F654" s="24" t="s">
        <v>365</v>
      </c>
      <c r="G654" s="46" t="s">
        <v>1534</v>
      </c>
      <c r="H654" s="47" t="s">
        <v>952</v>
      </c>
      <c r="I654" s="60" t="s">
        <v>709</v>
      </c>
      <c r="J654" s="29">
        <v>44435</v>
      </c>
      <c r="K654" s="1"/>
      <c r="L654" s="27"/>
      <c r="M654" s="27"/>
      <c r="N654" s="1"/>
      <c r="O654" s="45">
        <v>44457</v>
      </c>
      <c r="P654" s="1"/>
    </row>
    <row r="655" ht="26" spans="2:16">
      <c r="B655" s="1">
        <v>654</v>
      </c>
      <c r="C655" s="24" t="s">
        <v>1535</v>
      </c>
      <c r="D655" s="24" t="s">
        <v>1533</v>
      </c>
      <c r="E655" s="1">
        <v>250000</v>
      </c>
      <c r="F655" s="24" t="s">
        <v>401</v>
      </c>
      <c r="G655" s="46" t="s">
        <v>1536</v>
      </c>
      <c r="H655" s="47" t="s">
        <v>1297</v>
      </c>
      <c r="I655" s="60" t="s">
        <v>709</v>
      </c>
      <c r="J655" s="29">
        <v>44435</v>
      </c>
      <c r="K655" s="1"/>
      <c r="L655" s="27"/>
      <c r="M655" s="27"/>
      <c r="N655" s="1"/>
      <c r="O655" s="45">
        <v>44457</v>
      </c>
      <c r="P655" s="1"/>
    </row>
    <row r="656" ht="26" spans="2:16">
      <c r="B656" s="1">
        <v>655</v>
      </c>
      <c r="C656" s="24" t="s">
        <v>1537</v>
      </c>
      <c r="D656" s="24" t="s">
        <v>1533</v>
      </c>
      <c r="E656" s="64">
        <v>200800</v>
      </c>
      <c r="F656" s="24" t="s">
        <v>1485</v>
      </c>
      <c r="G656" s="46" t="s">
        <v>1538</v>
      </c>
      <c r="H656" s="47" t="s">
        <v>952</v>
      </c>
      <c r="I656" s="60" t="s">
        <v>709</v>
      </c>
      <c r="J656" s="29">
        <v>44203</v>
      </c>
      <c r="K656" s="1"/>
      <c r="L656" s="27"/>
      <c r="M656" s="27"/>
      <c r="N656" s="1"/>
      <c r="O656" s="45">
        <v>44457</v>
      </c>
      <c r="P656" s="1"/>
    </row>
    <row r="657" ht="26" spans="2:16">
      <c r="B657" s="1">
        <v>656</v>
      </c>
      <c r="C657" s="24" t="s">
        <v>1539</v>
      </c>
      <c r="D657" s="24" t="s">
        <v>1533</v>
      </c>
      <c r="E657" s="33"/>
      <c r="F657" s="24" t="s">
        <v>401</v>
      </c>
      <c r="G657" s="46" t="s">
        <v>1540</v>
      </c>
      <c r="H657" s="47" t="s">
        <v>952</v>
      </c>
      <c r="I657" s="60" t="s">
        <v>709</v>
      </c>
      <c r="J657" s="29">
        <v>44435</v>
      </c>
      <c r="K657" s="1"/>
      <c r="L657" s="27"/>
      <c r="M657" s="27"/>
      <c r="N657" s="1"/>
      <c r="O657" s="45">
        <v>44457</v>
      </c>
      <c r="P657" s="1"/>
    </row>
    <row r="658" ht="26" spans="2:16">
      <c r="B658" s="1">
        <v>657</v>
      </c>
      <c r="C658" s="24" t="s">
        <v>1541</v>
      </c>
      <c r="D658" s="24" t="s">
        <v>1533</v>
      </c>
      <c r="E658" s="1">
        <v>98100</v>
      </c>
      <c r="F658" s="24" t="s">
        <v>401</v>
      </c>
      <c r="G658" s="46" t="s">
        <v>1542</v>
      </c>
      <c r="H658" s="47" t="s">
        <v>952</v>
      </c>
      <c r="I658" s="60" t="s">
        <v>709</v>
      </c>
      <c r="J658" s="29">
        <v>44435</v>
      </c>
      <c r="K658" s="1"/>
      <c r="L658" s="27"/>
      <c r="M658" s="27"/>
      <c r="N658" s="1"/>
      <c r="O658" s="45">
        <v>44457</v>
      </c>
      <c r="P658" s="1"/>
    </row>
    <row r="659" ht="34.8" customHeight="1" spans="2:16">
      <c r="B659" s="1">
        <v>658</v>
      </c>
      <c r="C659" s="24" t="s">
        <v>1543</v>
      </c>
      <c r="D659" s="24" t="s">
        <v>1383</v>
      </c>
      <c r="E659" s="25">
        <v>83356.7</v>
      </c>
      <c r="F659" s="24" t="s">
        <v>367</v>
      </c>
      <c r="G659" s="46" t="s">
        <v>1544</v>
      </c>
      <c r="H659" s="47" t="s">
        <v>914</v>
      </c>
      <c r="I659" s="60" t="s">
        <v>709</v>
      </c>
      <c r="J659" s="29">
        <v>44407</v>
      </c>
      <c r="K659" s="1"/>
      <c r="L659" s="27"/>
      <c r="M659" s="27"/>
      <c r="N659" s="1"/>
      <c r="O659" s="45">
        <v>44457</v>
      </c>
      <c r="P659" s="1"/>
    </row>
    <row r="660" ht="36" customHeight="1" spans="2:16">
      <c r="B660" s="1">
        <v>659</v>
      </c>
      <c r="C660" s="24" t="s">
        <v>1545</v>
      </c>
      <c r="D660" s="24" t="s">
        <v>1465</v>
      </c>
      <c r="E660" s="25">
        <v>65.2</v>
      </c>
      <c r="F660" s="24" t="s">
        <v>1546</v>
      </c>
      <c r="G660" s="46" t="s">
        <v>1547</v>
      </c>
      <c r="H660" s="47" t="s">
        <v>708</v>
      </c>
      <c r="I660" s="60" t="s">
        <v>884</v>
      </c>
      <c r="J660" s="29">
        <v>44211</v>
      </c>
      <c r="K660" s="1">
        <v>20</v>
      </c>
      <c r="L660" s="27"/>
      <c r="M660" s="27"/>
      <c r="N660" s="1"/>
      <c r="O660" s="45">
        <v>44480</v>
      </c>
      <c r="P660" s="1"/>
    </row>
    <row r="661" ht="26" spans="2:16">
      <c r="B661" s="1">
        <v>660</v>
      </c>
      <c r="C661" s="24" t="s">
        <v>1548</v>
      </c>
      <c r="D661" s="24" t="s">
        <v>1383</v>
      </c>
      <c r="E661" s="25">
        <v>164800</v>
      </c>
      <c r="F661" s="24" t="s">
        <v>1549</v>
      </c>
      <c r="G661" s="46" t="s">
        <v>1550</v>
      </c>
      <c r="H661" s="47" t="s">
        <v>914</v>
      </c>
      <c r="I661" s="60" t="s">
        <v>709</v>
      </c>
      <c r="J661" s="29">
        <v>44466</v>
      </c>
      <c r="K661" s="1"/>
      <c r="L661" s="27"/>
      <c r="M661" s="27"/>
      <c r="N661" s="1"/>
      <c r="O661" s="45">
        <v>44497</v>
      </c>
      <c r="P661" s="1"/>
    </row>
    <row r="662" ht="37.2" customHeight="1" spans="2:16">
      <c r="B662" s="1">
        <v>661</v>
      </c>
      <c r="C662" s="24" t="s">
        <v>1551</v>
      </c>
      <c r="D662" s="24" t="s">
        <v>1383</v>
      </c>
      <c r="E662" s="25">
        <v>152900</v>
      </c>
      <c r="F662" s="24" t="s">
        <v>641</v>
      </c>
      <c r="G662" s="46" t="s">
        <v>1552</v>
      </c>
      <c r="H662" s="47" t="s">
        <v>914</v>
      </c>
      <c r="I662" s="60" t="s">
        <v>709</v>
      </c>
      <c r="J662" s="29">
        <v>44466</v>
      </c>
      <c r="K662" s="1"/>
      <c r="L662" s="27"/>
      <c r="M662" s="27"/>
      <c r="N662" s="1"/>
      <c r="O662" s="45">
        <v>44497</v>
      </c>
      <c r="P662" s="1"/>
    </row>
    <row r="663" ht="34.8" customHeight="1" spans="2:16">
      <c r="B663" s="1">
        <v>662</v>
      </c>
      <c r="C663" s="24" t="s">
        <v>1553</v>
      </c>
      <c r="D663" s="24" t="s">
        <v>1383</v>
      </c>
      <c r="E663" s="25">
        <v>152900</v>
      </c>
      <c r="F663" s="24" t="s">
        <v>456</v>
      </c>
      <c r="G663" s="46" t="s">
        <v>1554</v>
      </c>
      <c r="H663" s="47" t="s">
        <v>914</v>
      </c>
      <c r="I663" s="60" t="s">
        <v>709</v>
      </c>
      <c r="J663" s="29">
        <v>44466</v>
      </c>
      <c r="K663" s="1"/>
      <c r="L663" s="27"/>
      <c r="M663" s="27"/>
      <c r="N663" s="1"/>
      <c r="O663" s="45">
        <v>44497</v>
      </c>
      <c r="P663" s="1"/>
    </row>
    <row r="664" ht="26" spans="2:16">
      <c r="B664" s="1">
        <v>663</v>
      </c>
      <c r="C664" s="24" t="s">
        <v>1555</v>
      </c>
      <c r="D664" s="24" t="s">
        <v>1360</v>
      </c>
      <c r="E664" s="33"/>
      <c r="F664" s="24" t="s">
        <v>1488</v>
      </c>
      <c r="G664" s="46" t="s">
        <v>1556</v>
      </c>
      <c r="H664" s="47" t="s">
        <v>914</v>
      </c>
      <c r="I664" s="60" t="s">
        <v>709</v>
      </c>
      <c r="J664" s="29">
        <v>44403</v>
      </c>
      <c r="K664" s="1"/>
      <c r="L664" s="27"/>
      <c r="M664" s="27"/>
      <c r="N664" s="1"/>
      <c r="O664" s="45">
        <v>44518</v>
      </c>
      <c r="P664" s="1"/>
    </row>
    <row r="665" spans="2:16">
      <c r="B665" s="1">
        <v>664</v>
      </c>
      <c r="C665" s="24" t="s">
        <v>1557</v>
      </c>
      <c r="D665" s="24" t="s">
        <v>546</v>
      </c>
      <c r="E665" s="25"/>
      <c r="F665" s="24" t="s">
        <v>954</v>
      </c>
      <c r="G665" s="24"/>
      <c r="H665" s="1"/>
      <c r="I665" s="1"/>
      <c r="J665" s="29">
        <v>43457</v>
      </c>
      <c r="K665" s="1">
        <v>125</v>
      </c>
      <c r="L665" s="27"/>
      <c r="M665" s="27"/>
      <c r="N665" s="1"/>
      <c r="O665" s="45">
        <v>44540</v>
      </c>
      <c r="P665" s="1"/>
    </row>
    <row r="666" spans="2:16">
      <c r="B666" s="1">
        <v>665</v>
      </c>
      <c r="C666" s="24" t="s">
        <v>1558</v>
      </c>
      <c r="D666" s="24" t="s">
        <v>546</v>
      </c>
      <c r="E666" s="25"/>
      <c r="F666" s="24" t="s">
        <v>954</v>
      </c>
      <c r="G666" s="24"/>
      <c r="H666" s="1"/>
      <c r="I666" s="1"/>
      <c r="J666" s="29">
        <v>43459</v>
      </c>
      <c r="K666" s="1">
        <v>120</v>
      </c>
      <c r="L666" s="27"/>
      <c r="M666" s="27"/>
      <c r="N666" s="1"/>
      <c r="O666" s="45">
        <v>44540</v>
      </c>
      <c r="P666" s="1"/>
    </row>
    <row r="667" spans="2:16">
      <c r="B667" s="1">
        <v>666</v>
      </c>
      <c r="C667" s="24" t="s">
        <v>1559</v>
      </c>
      <c r="D667" s="24" t="s">
        <v>546</v>
      </c>
      <c r="E667" s="25"/>
      <c r="F667" s="24" t="s">
        <v>954</v>
      </c>
      <c r="G667" s="24"/>
      <c r="H667" s="1"/>
      <c r="I667" s="1"/>
      <c r="J667" s="29">
        <v>43459</v>
      </c>
      <c r="K667" s="1">
        <v>95</v>
      </c>
      <c r="L667" s="27"/>
      <c r="M667" s="27"/>
      <c r="N667" s="1"/>
      <c r="O667" s="45">
        <v>44540</v>
      </c>
      <c r="P667" s="1"/>
    </row>
    <row r="668" spans="2:16">
      <c r="B668" s="1">
        <v>667</v>
      </c>
      <c r="C668" s="24" t="s">
        <v>1560</v>
      </c>
      <c r="D668" s="24" t="s">
        <v>546</v>
      </c>
      <c r="E668" s="33"/>
      <c r="F668" s="24" t="s">
        <v>954</v>
      </c>
      <c r="G668" s="24"/>
      <c r="H668" s="1"/>
      <c r="I668" s="1"/>
      <c r="J668" s="29">
        <v>44211</v>
      </c>
      <c r="K668" s="1">
        <v>95</v>
      </c>
      <c r="L668" s="27"/>
      <c r="M668" s="27"/>
      <c r="N668" s="1"/>
      <c r="O668" s="45">
        <v>44540</v>
      </c>
      <c r="P668" s="1"/>
    </row>
    <row r="669" ht="43.05" customHeight="1" spans="2:16">
      <c r="B669" s="1">
        <v>668</v>
      </c>
      <c r="C669" s="24" t="s">
        <v>1561</v>
      </c>
      <c r="D669" s="24" t="s">
        <v>1346</v>
      </c>
      <c r="E669" s="25">
        <v>320</v>
      </c>
      <c r="F669" s="24" t="s">
        <v>931</v>
      </c>
      <c r="G669" s="46" t="s">
        <v>1562</v>
      </c>
      <c r="H669" s="62" t="s">
        <v>709</v>
      </c>
      <c r="I669" s="62" t="s">
        <v>709</v>
      </c>
      <c r="J669" s="29">
        <v>44337</v>
      </c>
      <c r="K669" s="1"/>
      <c r="L669" s="27"/>
      <c r="M669" s="27"/>
      <c r="N669" s="1"/>
      <c r="O669" s="45">
        <v>44540</v>
      </c>
      <c r="P669" s="1"/>
    </row>
    <row r="670" ht="39" spans="2:16">
      <c r="B670" s="1">
        <v>669</v>
      </c>
      <c r="C670" s="24" t="s">
        <v>1563</v>
      </c>
      <c r="D670" s="24" t="s">
        <v>1346</v>
      </c>
      <c r="E670" s="25">
        <v>145</v>
      </c>
      <c r="F670" s="24" t="s">
        <v>931</v>
      </c>
      <c r="G670" s="46" t="s">
        <v>1564</v>
      </c>
      <c r="H670" s="62" t="s">
        <v>709</v>
      </c>
      <c r="I670" s="62" t="s">
        <v>709</v>
      </c>
      <c r="J670" s="29">
        <v>44435</v>
      </c>
      <c r="K670" s="1"/>
      <c r="L670" s="27"/>
      <c r="M670" s="27"/>
      <c r="N670" s="1"/>
      <c r="O670" s="45">
        <v>44540</v>
      </c>
      <c r="P670" s="1"/>
    </row>
    <row r="671" ht="39" spans="2:16">
      <c r="B671" s="1">
        <v>670</v>
      </c>
      <c r="C671" s="24" t="s">
        <v>1565</v>
      </c>
      <c r="D671" s="24" t="s">
        <v>1346</v>
      </c>
      <c r="E671" s="25">
        <v>42</v>
      </c>
      <c r="F671" s="24" t="s">
        <v>931</v>
      </c>
      <c r="G671" s="46" t="s">
        <v>1566</v>
      </c>
      <c r="H671" s="62" t="s">
        <v>709</v>
      </c>
      <c r="I671" s="62" t="s">
        <v>709</v>
      </c>
      <c r="J671" s="29">
        <v>44435</v>
      </c>
      <c r="K671" s="1"/>
      <c r="L671" s="27"/>
      <c r="M671" s="27"/>
      <c r="N671" s="1"/>
      <c r="O671" s="45">
        <v>44540</v>
      </c>
      <c r="P671" s="1"/>
    </row>
    <row r="672" ht="26" spans="2:16">
      <c r="B672" s="1">
        <v>671</v>
      </c>
      <c r="C672" s="24" t="s">
        <v>1567</v>
      </c>
      <c r="D672" s="24" t="s">
        <v>1568</v>
      </c>
      <c r="E672" s="25"/>
      <c r="F672" s="24" t="s">
        <v>1569</v>
      </c>
      <c r="G672" s="46" t="s">
        <v>1570</v>
      </c>
      <c r="H672" s="62" t="s">
        <v>709</v>
      </c>
      <c r="I672" s="62" t="s">
        <v>709</v>
      </c>
      <c r="J672" s="29">
        <v>43625</v>
      </c>
      <c r="K672" s="1"/>
      <c r="L672" s="27"/>
      <c r="M672" s="27"/>
      <c r="N672" s="1"/>
      <c r="O672" s="45">
        <v>44540</v>
      </c>
      <c r="P672" s="1"/>
    </row>
    <row r="673" ht="26" spans="2:16">
      <c r="B673" s="1">
        <v>672</v>
      </c>
      <c r="C673" s="24" t="s">
        <v>1571</v>
      </c>
      <c r="D673" s="24" t="s">
        <v>1572</v>
      </c>
      <c r="E673" s="25">
        <v>306400</v>
      </c>
      <c r="F673" s="24" t="s">
        <v>1573</v>
      </c>
      <c r="G673" s="46" t="s">
        <v>1574</v>
      </c>
      <c r="H673" s="62" t="s">
        <v>709</v>
      </c>
      <c r="I673" s="62" t="s">
        <v>709</v>
      </c>
      <c r="J673" s="29">
        <v>44348</v>
      </c>
      <c r="K673" s="1"/>
      <c r="L673" s="27"/>
      <c r="M673" s="27"/>
      <c r="N673" s="1"/>
      <c r="O673" s="45">
        <v>44540</v>
      </c>
      <c r="P673" s="1"/>
    </row>
    <row r="674" ht="39" spans="2:16">
      <c r="B674" s="1">
        <v>673</v>
      </c>
      <c r="C674" s="24" t="s">
        <v>1575</v>
      </c>
      <c r="D674" s="24" t="s">
        <v>1576</v>
      </c>
      <c r="E674" s="25">
        <v>23000</v>
      </c>
      <c r="F674" s="24" t="s">
        <v>1577</v>
      </c>
      <c r="G674" s="46" t="s">
        <v>1578</v>
      </c>
      <c r="H674" s="62" t="s">
        <v>721</v>
      </c>
      <c r="I674" s="62" t="s">
        <v>709</v>
      </c>
      <c r="J674" s="29">
        <v>44461</v>
      </c>
      <c r="K674" s="1"/>
      <c r="L674" s="27"/>
      <c r="M674" s="27"/>
      <c r="N674" s="1"/>
      <c r="O674" s="45">
        <v>44565</v>
      </c>
      <c r="P674" s="1"/>
    </row>
    <row r="675" ht="65" spans="2:16">
      <c r="B675" s="1">
        <v>674</v>
      </c>
      <c r="C675" s="24" t="s">
        <v>1579</v>
      </c>
      <c r="D675" s="24" t="s">
        <v>1580</v>
      </c>
      <c r="E675" s="33"/>
      <c r="F675" s="24" t="s">
        <v>1062</v>
      </c>
      <c r="G675" s="46" t="s">
        <v>1581</v>
      </c>
      <c r="H675" s="62" t="s">
        <v>709</v>
      </c>
      <c r="I675" s="62" t="s">
        <v>709</v>
      </c>
      <c r="J675" s="29">
        <v>44463</v>
      </c>
      <c r="K675" s="1">
        <v>196</v>
      </c>
      <c r="L675" s="27"/>
      <c r="M675" s="27"/>
      <c r="N675" s="1"/>
      <c r="O675" s="45">
        <v>44565</v>
      </c>
      <c r="P675" s="1"/>
    </row>
    <row r="676" ht="33" customHeight="1" spans="2:16">
      <c r="B676" s="1">
        <v>675</v>
      </c>
      <c r="C676" s="24" t="s">
        <v>1582</v>
      </c>
      <c r="D676" s="24" t="s">
        <v>1500</v>
      </c>
      <c r="E676" s="25">
        <v>664900</v>
      </c>
      <c r="F676" s="24" t="s">
        <v>456</v>
      </c>
      <c r="G676" s="46" t="s">
        <v>1583</v>
      </c>
      <c r="H676" s="62" t="s">
        <v>721</v>
      </c>
      <c r="I676" s="62" t="s">
        <v>709</v>
      </c>
      <c r="J676" s="29">
        <v>44531</v>
      </c>
      <c r="K676" s="1"/>
      <c r="L676" s="27"/>
      <c r="M676" s="27"/>
      <c r="N676" s="1"/>
      <c r="O676" s="45">
        <v>44565</v>
      </c>
      <c r="P676" s="1"/>
    </row>
    <row r="677" ht="26" spans="2:16">
      <c r="B677" s="1">
        <v>676</v>
      </c>
      <c r="C677" s="24" t="s">
        <v>1584</v>
      </c>
      <c r="D677" s="24" t="s">
        <v>1500</v>
      </c>
      <c r="E677" s="25">
        <v>617000</v>
      </c>
      <c r="F677" s="24" t="s">
        <v>456</v>
      </c>
      <c r="G677" s="46" t="s">
        <v>1583</v>
      </c>
      <c r="H677" s="62" t="s">
        <v>721</v>
      </c>
      <c r="I677" s="62" t="s">
        <v>709</v>
      </c>
      <c r="J677" s="29">
        <v>44531</v>
      </c>
      <c r="K677" s="1"/>
      <c r="L677" s="27"/>
      <c r="M677" s="27"/>
      <c r="N677" s="1"/>
      <c r="O677" s="45">
        <v>44565</v>
      </c>
      <c r="P677" s="1"/>
    </row>
    <row r="678" ht="26" spans="2:16">
      <c r="B678" s="1">
        <v>677</v>
      </c>
      <c r="C678" s="24" t="s">
        <v>1585</v>
      </c>
      <c r="D678" s="24" t="s">
        <v>1500</v>
      </c>
      <c r="E678" s="25">
        <v>695300</v>
      </c>
      <c r="F678" s="24" t="s">
        <v>456</v>
      </c>
      <c r="G678" s="46" t="s">
        <v>1583</v>
      </c>
      <c r="H678" s="62" t="s">
        <v>721</v>
      </c>
      <c r="I678" s="62" t="s">
        <v>709</v>
      </c>
      <c r="J678" s="29">
        <v>44531</v>
      </c>
      <c r="K678" s="1"/>
      <c r="L678" s="27"/>
      <c r="M678" s="27"/>
      <c r="N678" s="1"/>
      <c r="O678" s="45">
        <v>44565</v>
      </c>
      <c r="P678" s="1"/>
    </row>
    <row r="679" ht="65" spans="2:16">
      <c r="B679" s="1">
        <v>678</v>
      </c>
      <c r="C679" s="24" t="s">
        <v>1586</v>
      </c>
      <c r="D679" s="24" t="s">
        <v>1580</v>
      </c>
      <c r="E679" s="33"/>
      <c r="F679" s="24" t="s">
        <v>1062</v>
      </c>
      <c r="G679" s="46" t="s">
        <v>1587</v>
      </c>
      <c r="H679" s="62" t="s">
        <v>709</v>
      </c>
      <c r="I679" s="62" t="s">
        <v>709</v>
      </c>
      <c r="J679" s="29">
        <v>44463</v>
      </c>
      <c r="K679" s="1">
        <v>14</v>
      </c>
      <c r="L679" s="27"/>
      <c r="M679" s="27"/>
      <c r="N679" s="1"/>
      <c r="O679" s="45">
        <v>44568</v>
      </c>
      <c r="P679" s="1"/>
    </row>
    <row r="680" ht="65" spans="2:16">
      <c r="B680" s="1">
        <v>679</v>
      </c>
      <c r="C680" s="24" t="s">
        <v>1588</v>
      </c>
      <c r="D680" s="24" t="s">
        <v>1580</v>
      </c>
      <c r="E680" s="33"/>
      <c r="F680" s="24" t="s">
        <v>1062</v>
      </c>
      <c r="G680" s="46" t="s">
        <v>1581</v>
      </c>
      <c r="H680" s="62" t="s">
        <v>709</v>
      </c>
      <c r="I680" s="62" t="s">
        <v>709</v>
      </c>
      <c r="J680" s="29">
        <v>44463</v>
      </c>
      <c r="K680" s="1">
        <v>84</v>
      </c>
      <c r="L680" s="27"/>
      <c r="M680" s="27"/>
      <c r="N680" s="1"/>
      <c r="O680" s="45">
        <v>44568</v>
      </c>
      <c r="P680" s="1"/>
    </row>
    <row r="681" ht="65" spans="2:16">
      <c r="B681" s="1">
        <v>680</v>
      </c>
      <c r="C681" s="24" t="s">
        <v>1589</v>
      </c>
      <c r="D681" s="24" t="s">
        <v>1580</v>
      </c>
      <c r="E681" s="33"/>
      <c r="F681" s="24" t="s">
        <v>1062</v>
      </c>
      <c r="G681" s="46" t="s">
        <v>1587</v>
      </c>
      <c r="H681" s="62" t="s">
        <v>709</v>
      </c>
      <c r="I681" s="62" t="s">
        <v>709</v>
      </c>
      <c r="J681" s="29">
        <v>44463</v>
      </c>
      <c r="K681" s="1">
        <v>6</v>
      </c>
      <c r="L681" s="27"/>
      <c r="M681" s="27"/>
      <c r="N681" s="1"/>
      <c r="O681" s="45">
        <v>44568</v>
      </c>
      <c r="P681" s="1"/>
    </row>
    <row r="682" ht="52" spans="2:16">
      <c r="B682" s="1">
        <v>681</v>
      </c>
      <c r="C682" s="24" t="s">
        <v>1590</v>
      </c>
      <c r="D682" s="24" t="s">
        <v>1500</v>
      </c>
      <c r="E682" s="25">
        <v>1420400</v>
      </c>
      <c r="F682" s="24" t="s">
        <v>1591</v>
      </c>
      <c r="G682" s="46" t="s">
        <v>1592</v>
      </c>
      <c r="H682" s="62" t="s">
        <v>721</v>
      </c>
      <c r="I682" s="62" t="s">
        <v>709</v>
      </c>
      <c r="J682" s="29">
        <v>44306</v>
      </c>
      <c r="K682" s="1"/>
      <c r="L682" s="27"/>
      <c r="M682" s="27"/>
      <c r="N682" s="1"/>
      <c r="O682" s="45">
        <v>44568</v>
      </c>
      <c r="P682" s="1"/>
    </row>
    <row r="683" ht="24" customHeight="1" spans="2:16">
      <c r="B683" s="1">
        <v>682</v>
      </c>
      <c r="C683" s="24" t="s">
        <v>1593</v>
      </c>
      <c r="D683" s="24" t="s">
        <v>1594</v>
      </c>
      <c r="E683" s="25">
        <v>410000</v>
      </c>
      <c r="F683" s="24" t="s">
        <v>1409</v>
      </c>
      <c r="G683" s="46" t="s">
        <v>1595</v>
      </c>
      <c r="H683" s="47" t="s">
        <v>1031</v>
      </c>
      <c r="I683" s="60" t="s">
        <v>709</v>
      </c>
      <c r="J683" s="29">
        <v>44502</v>
      </c>
      <c r="K683" s="1">
        <v>19.8</v>
      </c>
      <c r="L683" s="27"/>
      <c r="M683" s="27"/>
      <c r="N683" s="1">
        <v>2</v>
      </c>
      <c r="O683" s="45">
        <v>44568</v>
      </c>
      <c r="P683" s="1"/>
    </row>
    <row r="684" ht="26" spans="2:16">
      <c r="B684" s="1">
        <v>683</v>
      </c>
      <c r="C684" s="24" t="s">
        <v>1596</v>
      </c>
      <c r="D684" s="24" t="s">
        <v>1594</v>
      </c>
      <c r="E684" s="25">
        <v>499943</v>
      </c>
      <c r="F684" s="24" t="s">
        <v>1409</v>
      </c>
      <c r="G684" s="46" t="s">
        <v>1595</v>
      </c>
      <c r="H684" s="47" t="s">
        <v>1031</v>
      </c>
      <c r="I684" s="60" t="s">
        <v>709</v>
      </c>
      <c r="J684" s="29">
        <v>44502</v>
      </c>
      <c r="K684" s="1">
        <v>19.8</v>
      </c>
      <c r="L684" s="27"/>
      <c r="M684" s="27"/>
      <c r="N684" s="1">
        <v>2</v>
      </c>
      <c r="O684" s="45">
        <v>44568</v>
      </c>
      <c r="P684" s="1"/>
    </row>
    <row r="685" spans="2:16">
      <c r="B685" s="1">
        <v>684</v>
      </c>
      <c r="C685" s="24" t="s">
        <v>1597</v>
      </c>
      <c r="D685" s="24" t="s">
        <v>546</v>
      </c>
      <c r="E685" s="25"/>
      <c r="F685" s="24" t="s">
        <v>1598</v>
      </c>
      <c r="G685" s="24"/>
      <c r="H685" s="1"/>
      <c r="I685" s="1"/>
      <c r="J685" s="29">
        <v>43616</v>
      </c>
      <c r="K685" s="1">
        <v>33</v>
      </c>
      <c r="L685" s="27"/>
      <c r="M685" s="27"/>
      <c r="N685" s="1"/>
      <c r="O685" s="45">
        <v>44568</v>
      </c>
      <c r="P685" s="1"/>
    </row>
    <row r="686" ht="26" spans="2:16">
      <c r="B686" s="1">
        <v>685</v>
      </c>
      <c r="C686" s="24" t="s">
        <v>1599</v>
      </c>
      <c r="D686" s="24" t="s">
        <v>1600</v>
      </c>
      <c r="E686" s="25">
        <v>690014</v>
      </c>
      <c r="F686" s="24" t="s">
        <v>1062</v>
      </c>
      <c r="G686" s="46" t="s">
        <v>1601</v>
      </c>
      <c r="H686" s="62" t="s">
        <v>709</v>
      </c>
      <c r="I686" s="62" t="s">
        <v>709</v>
      </c>
      <c r="J686" s="29">
        <v>44525</v>
      </c>
      <c r="K686" s="1"/>
      <c r="L686" s="27"/>
      <c r="M686" s="27"/>
      <c r="N686" s="1"/>
      <c r="O686" s="45">
        <v>44587</v>
      </c>
      <c r="P686" s="1"/>
    </row>
    <row r="687" ht="38.4" customHeight="1" spans="2:16">
      <c r="B687" s="1">
        <v>686</v>
      </c>
      <c r="C687" s="24" t="s">
        <v>1602</v>
      </c>
      <c r="D687" s="24" t="s">
        <v>1383</v>
      </c>
      <c r="E687" s="25">
        <v>2130000</v>
      </c>
      <c r="F687" s="24" t="s">
        <v>1549</v>
      </c>
      <c r="G687" s="46" t="s">
        <v>1603</v>
      </c>
      <c r="H687" s="53" t="s">
        <v>914</v>
      </c>
      <c r="I687" s="62" t="s">
        <v>709</v>
      </c>
      <c r="J687" s="29">
        <v>44592</v>
      </c>
      <c r="K687" s="1"/>
      <c r="L687" s="27"/>
      <c r="M687" s="27"/>
      <c r="N687" s="1"/>
      <c r="O687" s="45">
        <v>44587</v>
      </c>
      <c r="P687" s="1"/>
    </row>
    <row r="688" ht="34.8" customHeight="1" spans="2:16">
      <c r="B688" s="1">
        <v>687</v>
      </c>
      <c r="C688" s="24" t="s">
        <v>1604</v>
      </c>
      <c r="D688" s="24" t="s">
        <v>1383</v>
      </c>
      <c r="E688" s="25">
        <v>395100</v>
      </c>
      <c r="F688" s="24" t="s">
        <v>1605</v>
      </c>
      <c r="G688" s="46" t="s">
        <v>1606</v>
      </c>
      <c r="H688" s="53" t="s">
        <v>914</v>
      </c>
      <c r="I688" s="62" t="s">
        <v>709</v>
      </c>
      <c r="J688" s="29">
        <v>44592</v>
      </c>
      <c r="K688" s="1"/>
      <c r="L688" s="27"/>
      <c r="M688" s="27"/>
      <c r="N688" s="1"/>
      <c r="O688" s="45">
        <v>44587</v>
      </c>
      <c r="P688" s="1"/>
    </row>
    <row r="689" ht="34.2" customHeight="1" spans="2:16">
      <c r="B689" s="1">
        <v>688</v>
      </c>
      <c r="C689" s="24" t="s">
        <v>1607</v>
      </c>
      <c r="D689" s="24" t="s">
        <v>1383</v>
      </c>
      <c r="E689" s="25">
        <v>395100</v>
      </c>
      <c r="F689" s="24" t="s">
        <v>456</v>
      </c>
      <c r="G689" s="46" t="s">
        <v>1608</v>
      </c>
      <c r="H689" s="53" t="s">
        <v>914</v>
      </c>
      <c r="I689" s="62" t="s">
        <v>709</v>
      </c>
      <c r="J689" s="29">
        <v>44592</v>
      </c>
      <c r="K689" s="1"/>
      <c r="L689" s="27"/>
      <c r="M689" s="27"/>
      <c r="N689" s="1"/>
      <c r="O689" s="45">
        <v>44587</v>
      </c>
      <c r="P689" s="1"/>
    </row>
    <row r="690" ht="39" customHeight="1" spans="2:16">
      <c r="B690" s="1">
        <v>689</v>
      </c>
      <c r="C690" s="24" t="s">
        <v>1609</v>
      </c>
      <c r="D690" s="24" t="s">
        <v>1610</v>
      </c>
      <c r="E690" s="33"/>
      <c r="F690" s="24" t="s">
        <v>1611</v>
      </c>
      <c r="G690" s="46" t="s">
        <v>1612</v>
      </c>
      <c r="H690" s="62" t="s">
        <v>709</v>
      </c>
      <c r="I690" s="62" t="s">
        <v>709</v>
      </c>
      <c r="J690" s="29">
        <v>44601</v>
      </c>
      <c r="K690" s="1"/>
      <c r="L690" s="27"/>
      <c r="M690" s="27"/>
      <c r="N690" s="1">
        <v>2</v>
      </c>
      <c r="O690" s="45">
        <v>44599</v>
      </c>
      <c r="P690" s="1" t="s">
        <v>1613</v>
      </c>
    </row>
    <row r="691" ht="39" spans="2:16">
      <c r="B691" s="1">
        <v>690</v>
      </c>
      <c r="C691" s="24" t="s">
        <v>1614</v>
      </c>
      <c r="D691" s="24" t="s">
        <v>582</v>
      </c>
      <c r="E691" s="33">
        <v>374984</v>
      </c>
      <c r="F691" s="24" t="s">
        <v>1615</v>
      </c>
      <c r="G691" s="46" t="s">
        <v>1612</v>
      </c>
      <c r="H691" s="53" t="s">
        <v>708</v>
      </c>
      <c r="I691" s="53" t="s">
        <v>857</v>
      </c>
      <c r="J691" s="29">
        <v>44151</v>
      </c>
      <c r="K691" s="1"/>
      <c r="L691" s="27"/>
      <c r="M691" s="27"/>
      <c r="N691" s="1">
        <v>2</v>
      </c>
      <c r="O691" s="45">
        <v>44638</v>
      </c>
      <c r="P691" s="1" t="s">
        <v>1616</v>
      </c>
    </row>
    <row r="692" ht="30" customHeight="1" spans="2:16">
      <c r="B692" s="1">
        <v>691</v>
      </c>
      <c r="C692" s="24" t="s">
        <v>1617</v>
      </c>
      <c r="D692" s="24" t="s">
        <v>1618</v>
      </c>
      <c r="E692" s="33"/>
      <c r="F692" s="24" t="s">
        <v>1619</v>
      </c>
      <c r="G692" s="46" t="s">
        <v>1620</v>
      </c>
      <c r="H692" s="53" t="s">
        <v>709</v>
      </c>
      <c r="I692" s="53" t="s">
        <v>709</v>
      </c>
      <c r="J692" s="29">
        <v>44530</v>
      </c>
      <c r="K692" s="1">
        <v>1.5</v>
      </c>
      <c r="L692" s="27"/>
      <c r="M692" s="27"/>
      <c r="N692" s="1">
        <v>1</v>
      </c>
      <c r="O692" s="45">
        <v>44638</v>
      </c>
      <c r="P692" s="1" t="s">
        <v>1621</v>
      </c>
    </row>
    <row r="693" ht="49.2" customHeight="1" spans="2:16">
      <c r="B693" s="1">
        <v>692</v>
      </c>
      <c r="C693" s="24" t="s">
        <v>1622</v>
      </c>
      <c r="D693" s="24" t="s">
        <v>546</v>
      </c>
      <c r="E693" s="33"/>
      <c r="F693" s="24" t="s">
        <v>1097</v>
      </c>
      <c r="G693" s="24"/>
      <c r="H693" s="1"/>
      <c r="I693" s="1"/>
      <c r="J693" s="29">
        <v>44287</v>
      </c>
      <c r="K693" s="1">
        <v>200</v>
      </c>
      <c r="L693" s="27"/>
      <c r="M693" s="27"/>
      <c r="N693" s="1">
        <v>2</v>
      </c>
      <c r="O693" s="45">
        <v>44659</v>
      </c>
      <c r="P693" s="1" t="s">
        <v>1623</v>
      </c>
    </row>
    <row r="694" ht="40.8" customHeight="1" spans="2:16">
      <c r="B694" s="1">
        <v>693</v>
      </c>
      <c r="C694" s="24" t="s">
        <v>1624</v>
      </c>
      <c r="D694" s="24" t="s">
        <v>546</v>
      </c>
      <c r="E694" s="33"/>
      <c r="F694" s="24" t="s">
        <v>1097</v>
      </c>
      <c r="G694" s="24"/>
      <c r="H694" s="1"/>
      <c r="I694" s="1"/>
      <c r="J694" s="29">
        <v>44317</v>
      </c>
      <c r="K694" s="1">
        <v>63</v>
      </c>
      <c r="L694" s="27"/>
      <c r="M694" s="27"/>
      <c r="N694" s="1">
        <v>2</v>
      </c>
      <c r="O694" s="45">
        <v>44659</v>
      </c>
      <c r="P694" s="1" t="s">
        <v>1623</v>
      </c>
    </row>
    <row r="695" ht="34.2" customHeight="1" spans="2:16">
      <c r="B695" s="1">
        <v>694</v>
      </c>
      <c r="C695" s="24" t="s">
        <v>1625</v>
      </c>
      <c r="D695" s="24" t="s">
        <v>546</v>
      </c>
      <c r="E695" s="33"/>
      <c r="F695" s="24" t="s">
        <v>1097</v>
      </c>
      <c r="G695" s="24"/>
      <c r="H695" s="1"/>
      <c r="I695" s="1"/>
      <c r="J695" s="29">
        <v>44348</v>
      </c>
      <c r="K695" s="1">
        <v>94.7</v>
      </c>
      <c r="L695" s="27"/>
      <c r="M695" s="27"/>
      <c r="N695" s="1">
        <v>2</v>
      </c>
      <c r="O695" s="45">
        <v>44659</v>
      </c>
      <c r="P695" s="1" t="s">
        <v>1623</v>
      </c>
    </row>
    <row r="696" ht="28.2" customHeight="1" spans="2:16">
      <c r="B696" s="1">
        <v>695</v>
      </c>
      <c r="C696" s="24" t="s">
        <v>1626</v>
      </c>
      <c r="D696" s="24" t="s">
        <v>546</v>
      </c>
      <c r="E696" s="25"/>
      <c r="F696" s="24" t="s">
        <v>954</v>
      </c>
      <c r="G696" s="24"/>
      <c r="H696" s="1"/>
      <c r="I696" s="1"/>
      <c r="J696" s="29">
        <v>43459</v>
      </c>
      <c r="K696" s="1">
        <v>95</v>
      </c>
      <c r="L696" s="27"/>
      <c r="M696" s="27"/>
      <c r="N696" s="1">
        <v>2</v>
      </c>
      <c r="O696" s="45">
        <v>44659</v>
      </c>
      <c r="P696" s="1" t="s">
        <v>1627</v>
      </c>
    </row>
    <row r="697" ht="26" spans="2:16">
      <c r="B697" s="1">
        <v>696</v>
      </c>
      <c r="C697" s="24" t="s">
        <v>1628</v>
      </c>
      <c r="D697" s="24" t="s">
        <v>546</v>
      </c>
      <c r="E697" s="33"/>
      <c r="F697" s="24" t="s">
        <v>954</v>
      </c>
      <c r="G697" s="24"/>
      <c r="H697" s="1"/>
      <c r="I697" s="1"/>
      <c r="J697" s="29">
        <v>44510</v>
      </c>
      <c r="K697" s="1">
        <v>2.4669</v>
      </c>
      <c r="L697" s="27"/>
      <c r="M697" s="27"/>
      <c r="N697" s="1">
        <v>2</v>
      </c>
      <c r="O697" s="45">
        <v>44659</v>
      </c>
      <c r="P697" s="1" t="s">
        <v>1627</v>
      </c>
    </row>
    <row r="698" ht="26" spans="2:16">
      <c r="B698" s="1">
        <v>697</v>
      </c>
      <c r="C698" s="24" t="s">
        <v>1629</v>
      </c>
      <c r="D698" s="24" t="s">
        <v>1058</v>
      </c>
      <c r="E698" s="25"/>
      <c r="F698" s="24" t="s">
        <v>1630</v>
      </c>
      <c r="G698" s="46" t="s">
        <v>1631</v>
      </c>
      <c r="H698" s="53" t="s">
        <v>709</v>
      </c>
      <c r="I698" s="53" t="s">
        <v>709</v>
      </c>
      <c r="J698" s="29">
        <v>43647</v>
      </c>
      <c r="K698" s="1">
        <v>441</v>
      </c>
      <c r="L698" s="27"/>
      <c r="M698" s="27"/>
      <c r="N698" s="1">
        <v>1</v>
      </c>
      <c r="O698" s="45">
        <v>44659</v>
      </c>
      <c r="P698" s="1" t="s">
        <v>1632</v>
      </c>
    </row>
    <row r="699" ht="39" spans="2:16">
      <c r="B699" s="1">
        <v>698</v>
      </c>
      <c r="C699" s="24" t="s">
        <v>1633</v>
      </c>
      <c r="D699" s="24" t="s">
        <v>1346</v>
      </c>
      <c r="E699" s="25">
        <v>43</v>
      </c>
      <c r="F699" s="24" t="s">
        <v>1113</v>
      </c>
      <c r="G699" s="46" t="s">
        <v>1634</v>
      </c>
      <c r="H699" s="62" t="s">
        <v>709</v>
      </c>
      <c r="I699" s="62" t="s">
        <v>709</v>
      </c>
      <c r="J699" s="29">
        <v>44540</v>
      </c>
      <c r="K699" s="1"/>
      <c r="L699" s="27"/>
      <c r="M699" s="27"/>
      <c r="N699" s="1">
        <v>3</v>
      </c>
      <c r="O699" s="45">
        <v>44680</v>
      </c>
      <c r="P699" s="1" t="s">
        <v>1616</v>
      </c>
    </row>
    <row r="700" ht="39" spans="2:16">
      <c r="B700" s="1">
        <v>699</v>
      </c>
      <c r="C700" s="24" t="s">
        <v>1635</v>
      </c>
      <c r="D700" s="24" t="s">
        <v>1281</v>
      </c>
      <c r="E700" s="33"/>
      <c r="F700" s="24" t="s">
        <v>1636</v>
      </c>
      <c r="G700" s="46" t="s">
        <v>1294</v>
      </c>
      <c r="H700" s="53" t="s">
        <v>708</v>
      </c>
      <c r="I700" s="53" t="s">
        <v>709</v>
      </c>
      <c r="J700" s="29">
        <v>44420</v>
      </c>
      <c r="K700" s="1"/>
      <c r="L700" s="27"/>
      <c r="M700" s="27"/>
      <c r="N700" s="1">
        <v>3</v>
      </c>
      <c r="O700" s="45">
        <v>44680</v>
      </c>
      <c r="P700" s="1" t="s">
        <v>1616</v>
      </c>
    </row>
    <row r="701" ht="39" spans="2:16">
      <c r="B701" s="1">
        <v>700</v>
      </c>
      <c r="C701" s="24" t="s">
        <v>1637</v>
      </c>
      <c r="D701" s="24" t="s">
        <v>1638</v>
      </c>
      <c r="E701" s="25">
        <v>1689300</v>
      </c>
      <c r="F701" s="24" t="s">
        <v>1097</v>
      </c>
      <c r="G701" s="46" t="s">
        <v>1639</v>
      </c>
      <c r="H701" s="53"/>
      <c r="I701" s="53"/>
      <c r="J701" s="29">
        <v>44669</v>
      </c>
      <c r="K701" s="1">
        <v>89.586</v>
      </c>
      <c r="L701" s="27"/>
      <c r="M701" s="27"/>
      <c r="N701" s="1">
        <v>3</v>
      </c>
      <c r="O701" s="45">
        <v>44680</v>
      </c>
      <c r="P701" s="1" t="s">
        <v>1640</v>
      </c>
    </row>
    <row r="702" ht="26" spans="2:16">
      <c r="B702" s="1">
        <v>701</v>
      </c>
      <c r="C702" s="24" t="s">
        <v>1641</v>
      </c>
      <c r="D702" s="24" t="s">
        <v>1029</v>
      </c>
      <c r="E702" s="25">
        <v>4121900</v>
      </c>
      <c r="F702" s="24" t="s">
        <v>1642</v>
      </c>
      <c r="G702" s="46" t="s">
        <v>1643</v>
      </c>
      <c r="H702" s="53" t="s">
        <v>884</v>
      </c>
      <c r="I702" s="53" t="s">
        <v>709</v>
      </c>
      <c r="J702" s="29">
        <v>44675</v>
      </c>
      <c r="K702" s="1">
        <v>24</v>
      </c>
      <c r="L702" s="27"/>
      <c r="M702" s="27"/>
      <c r="N702" s="1">
        <v>3</v>
      </c>
      <c r="O702" s="45">
        <v>44680</v>
      </c>
      <c r="P702" s="1" t="s">
        <v>1644</v>
      </c>
    </row>
    <row r="703" ht="26" spans="2:16">
      <c r="B703" s="1">
        <v>702</v>
      </c>
      <c r="C703" s="24" t="s">
        <v>1645</v>
      </c>
      <c r="D703" s="24" t="s">
        <v>1646</v>
      </c>
      <c r="E703" s="33"/>
      <c r="F703" s="24" t="s">
        <v>361</v>
      </c>
      <c r="G703" s="46" t="s">
        <v>1647</v>
      </c>
      <c r="H703" s="53" t="s">
        <v>709</v>
      </c>
      <c r="I703" s="53" t="s">
        <v>709</v>
      </c>
      <c r="J703" s="29">
        <v>43966</v>
      </c>
      <c r="K703" s="1">
        <v>40</v>
      </c>
      <c r="L703" s="27"/>
      <c r="M703" s="27"/>
      <c r="N703" s="1">
        <v>1</v>
      </c>
      <c r="O703" s="45">
        <v>44713</v>
      </c>
      <c r="P703" s="1" t="s">
        <v>1640</v>
      </c>
    </row>
    <row r="704" ht="26" spans="2:16">
      <c r="B704" s="1">
        <v>703</v>
      </c>
      <c r="C704" s="24" t="s">
        <v>1648</v>
      </c>
      <c r="D704" s="24" t="s">
        <v>1082</v>
      </c>
      <c r="E704" s="25">
        <v>1385700</v>
      </c>
      <c r="F704" s="24" t="s">
        <v>1649</v>
      </c>
      <c r="G704" s="46" t="s">
        <v>1650</v>
      </c>
      <c r="H704" s="53" t="s">
        <v>708</v>
      </c>
      <c r="I704" s="53" t="s">
        <v>721</v>
      </c>
      <c r="J704" s="29">
        <v>43934</v>
      </c>
      <c r="K704" s="1">
        <v>290</v>
      </c>
      <c r="L704" s="27">
        <f>SUBTOTAL(9,L617:L699)</f>
        <v>0</v>
      </c>
      <c r="M704" s="27"/>
      <c r="N704" s="1">
        <v>1</v>
      </c>
      <c r="O704" s="45">
        <v>44718</v>
      </c>
      <c r="P704" s="1" t="s">
        <v>1651</v>
      </c>
    </row>
    <row r="705" ht="26" spans="2:17">
      <c r="B705" s="1">
        <v>704</v>
      </c>
      <c r="C705" s="24" t="s">
        <v>1652</v>
      </c>
      <c r="D705" s="24" t="s">
        <v>1653</v>
      </c>
      <c r="E705" s="33"/>
      <c r="F705" s="24" t="s">
        <v>954</v>
      </c>
      <c r="G705" s="46" t="s">
        <v>1654</v>
      </c>
      <c r="H705" s="62" t="s">
        <v>709</v>
      </c>
      <c r="I705" s="62" t="s">
        <v>709</v>
      </c>
      <c r="J705" s="29">
        <v>44228</v>
      </c>
      <c r="K705" s="1">
        <v>92.462708</v>
      </c>
      <c r="L705" s="27"/>
      <c r="M705" s="27"/>
      <c r="N705" s="1">
        <v>2</v>
      </c>
      <c r="O705" s="45">
        <v>44721</v>
      </c>
      <c r="P705" s="1" t="s">
        <v>1655</v>
      </c>
    </row>
    <row r="706" ht="39" spans="2:17">
      <c r="B706" s="1">
        <v>705</v>
      </c>
      <c r="C706" s="24" t="s">
        <v>1656</v>
      </c>
      <c r="D706" s="24" t="s">
        <v>1346</v>
      </c>
      <c r="E706" s="25">
        <v>32.5</v>
      </c>
      <c r="F706" s="24" t="s">
        <v>1657</v>
      </c>
      <c r="G706" s="46" t="s">
        <v>1658</v>
      </c>
      <c r="H706" s="62" t="s">
        <v>709</v>
      </c>
      <c r="I706" s="62" t="s">
        <v>709</v>
      </c>
      <c r="J706" s="29">
        <v>44640</v>
      </c>
      <c r="K706" s="1"/>
      <c r="L706" s="27"/>
      <c r="M706" s="27"/>
      <c r="N706" s="1">
        <v>3</v>
      </c>
      <c r="O706" s="45">
        <v>44722</v>
      </c>
      <c r="P706" s="1" t="s">
        <v>1616</v>
      </c>
    </row>
    <row r="707" ht="52" spans="2:17">
      <c r="B707" s="1">
        <v>706</v>
      </c>
      <c r="C707" s="24" t="s">
        <v>1659</v>
      </c>
      <c r="D707" s="24" t="s">
        <v>1346</v>
      </c>
      <c r="E707" s="25">
        <v>42.5</v>
      </c>
      <c r="F707" s="24" t="s">
        <v>1657</v>
      </c>
      <c r="G707" s="46" t="s">
        <v>1660</v>
      </c>
      <c r="H707" s="62" t="s">
        <v>709</v>
      </c>
      <c r="I707" s="62" t="s">
        <v>709</v>
      </c>
      <c r="J707" s="29">
        <v>44645</v>
      </c>
      <c r="K707" s="1"/>
      <c r="L707" s="27"/>
      <c r="M707" s="27"/>
      <c r="N707" s="1">
        <v>3</v>
      </c>
      <c r="O707" s="45">
        <v>44722</v>
      </c>
      <c r="P707" s="1" t="s">
        <v>1616</v>
      </c>
    </row>
    <row r="708" ht="26" spans="2:17">
      <c r="B708" s="1">
        <v>707</v>
      </c>
      <c r="C708" s="24" t="s">
        <v>1661</v>
      </c>
      <c r="D708" s="24" t="s">
        <v>643</v>
      </c>
      <c r="E708" s="33">
        <v>525</v>
      </c>
      <c r="F708" s="24" t="s">
        <v>1662</v>
      </c>
      <c r="G708" s="46" t="s">
        <v>1663</v>
      </c>
      <c r="H708" s="53" t="s">
        <v>1457</v>
      </c>
      <c r="I708" s="53" t="s">
        <v>709</v>
      </c>
      <c r="J708" s="29">
        <v>44348</v>
      </c>
      <c r="K708" s="1">
        <v>2.4226</v>
      </c>
      <c r="L708" s="27"/>
      <c r="M708" s="27"/>
      <c r="N708" s="1">
        <v>2</v>
      </c>
      <c r="O708" s="45">
        <v>44732</v>
      </c>
      <c r="P708" s="1" t="s">
        <v>1664</v>
      </c>
    </row>
    <row r="709" ht="35.4" customHeight="1" spans="2:17">
      <c r="B709" s="1">
        <v>708</v>
      </c>
      <c r="C709" s="24" t="s">
        <v>1665</v>
      </c>
      <c r="D709" s="24" t="s">
        <v>643</v>
      </c>
      <c r="E709" s="33">
        <v>40.23</v>
      </c>
      <c r="F709" s="24" t="s">
        <v>1259</v>
      </c>
      <c r="G709" s="46" t="s">
        <v>1663</v>
      </c>
      <c r="H709" s="53" t="s">
        <v>1457</v>
      </c>
      <c r="I709" s="53" t="s">
        <v>709</v>
      </c>
      <c r="J709" s="29">
        <v>44378</v>
      </c>
      <c r="K709" s="1">
        <v>0.3861</v>
      </c>
      <c r="L709" s="27"/>
      <c r="M709" s="27"/>
      <c r="N709" s="1">
        <v>4</v>
      </c>
      <c r="O709" s="45">
        <v>44732</v>
      </c>
      <c r="P709" s="1" t="s">
        <v>1664</v>
      </c>
    </row>
    <row r="710" ht="52" spans="2:17">
      <c r="B710" s="1">
        <v>709</v>
      </c>
      <c r="C710" s="24" t="s">
        <v>1666</v>
      </c>
      <c r="D710" s="24" t="s">
        <v>643</v>
      </c>
      <c r="E710" s="33">
        <v>92.4713</v>
      </c>
      <c r="F710" s="24" t="s">
        <v>1259</v>
      </c>
      <c r="G710" s="46" t="s">
        <v>1663</v>
      </c>
      <c r="H710" s="53" t="s">
        <v>1457</v>
      </c>
      <c r="I710" s="53" t="s">
        <v>709</v>
      </c>
      <c r="J710" s="29">
        <v>44378</v>
      </c>
      <c r="K710" s="1">
        <v>0.8906</v>
      </c>
      <c r="L710" s="27"/>
      <c r="M710" s="27"/>
      <c r="N710" s="1">
        <v>2</v>
      </c>
      <c r="O710" s="45">
        <v>44732</v>
      </c>
      <c r="P710" s="1" t="s">
        <v>1664</v>
      </c>
    </row>
    <row r="711" ht="39" spans="2:17">
      <c r="B711" s="1">
        <v>710</v>
      </c>
      <c r="C711" s="24" t="s">
        <v>1667</v>
      </c>
      <c r="D711" s="24" t="s">
        <v>1668</v>
      </c>
      <c r="E711" s="25">
        <v>679400</v>
      </c>
      <c r="F711" s="24" t="s">
        <v>1669</v>
      </c>
      <c r="G711" s="46" t="s">
        <v>1670</v>
      </c>
      <c r="H711" s="53" t="s">
        <v>1671</v>
      </c>
      <c r="I711" s="53" t="s">
        <v>1613</v>
      </c>
      <c r="J711" s="29">
        <v>44657</v>
      </c>
      <c r="K711" s="1"/>
      <c r="L711" s="27"/>
      <c r="M711" s="27"/>
      <c r="N711" s="1">
        <v>4</v>
      </c>
      <c r="O711" s="45">
        <v>44732</v>
      </c>
      <c r="P711" s="1" t="s">
        <v>1613</v>
      </c>
    </row>
    <row r="712" ht="52" spans="2:17">
      <c r="B712" s="1">
        <v>711</v>
      </c>
      <c r="C712" s="24" t="s">
        <v>1672</v>
      </c>
      <c r="D712" s="24" t="s">
        <v>1383</v>
      </c>
      <c r="E712" s="25">
        <v>2130000</v>
      </c>
      <c r="F712" s="24" t="s">
        <v>1673</v>
      </c>
      <c r="G712" s="46" t="s">
        <v>1674</v>
      </c>
      <c r="H712" s="53" t="s">
        <v>708</v>
      </c>
      <c r="I712" s="53" t="s">
        <v>884</v>
      </c>
      <c r="J712" s="29">
        <v>43976</v>
      </c>
      <c r="K712" s="1">
        <v>0</v>
      </c>
      <c r="L712" s="27"/>
      <c r="M712" s="27"/>
      <c r="N712" s="1">
        <v>2</v>
      </c>
      <c r="O712" s="45">
        <v>44732</v>
      </c>
      <c r="P712" s="1" t="s">
        <v>1651</v>
      </c>
    </row>
    <row r="713" ht="38.4" customHeight="1" spans="2:17">
      <c r="B713" s="1">
        <v>712</v>
      </c>
      <c r="C713" s="24" t="s">
        <v>1675</v>
      </c>
      <c r="D713" s="24" t="s">
        <v>1383</v>
      </c>
      <c r="E713" s="33"/>
      <c r="F713" s="24" t="s">
        <v>1673</v>
      </c>
      <c r="G713" s="46" t="s">
        <v>1676</v>
      </c>
      <c r="H713" s="62" t="s">
        <v>709</v>
      </c>
      <c r="I713" s="62" t="s">
        <v>709</v>
      </c>
      <c r="J713" s="29">
        <v>43976</v>
      </c>
      <c r="K713" s="1">
        <v>364.8</v>
      </c>
      <c r="L713" s="27"/>
      <c r="M713" s="27"/>
      <c r="N713" s="1">
        <v>2</v>
      </c>
      <c r="O713" s="45">
        <v>44732</v>
      </c>
      <c r="P713" s="1" t="s">
        <v>1651</v>
      </c>
    </row>
    <row r="714" ht="26" spans="2:17">
      <c r="B714" s="1">
        <v>713</v>
      </c>
      <c r="C714" s="24" t="s">
        <v>1677</v>
      </c>
      <c r="D714" s="24" t="s">
        <v>1346</v>
      </c>
      <c r="E714" s="25">
        <v>35831.1714</v>
      </c>
      <c r="F714" s="24" t="s">
        <v>1662</v>
      </c>
      <c r="G714" s="46" t="s">
        <v>1678</v>
      </c>
      <c r="H714" s="62" t="s">
        <v>709</v>
      </c>
      <c r="I714" s="62" t="s">
        <v>709</v>
      </c>
      <c r="J714" s="29"/>
      <c r="K714" s="1"/>
      <c r="L714" s="27"/>
      <c r="M714" s="27"/>
      <c r="N714" s="1">
        <v>3</v>
      </c>
      <c r="O714" s="45">
        <v>44736</v>
      </c>
      <c r="P714" s="1" t="s">
        <v>1616</v>
      </c>
    </row>
    <row r="715" ht="26" spans="2:17">
      <c r="B715" s="1">
        <v>714</v>
      </c>
      <c r="C715" s="24" t="s">
        <v>1679</v>
      </c>
      <c r="D715" s="24" t="s">
        <v>1281</v>
      </c>
      <c r="E715" s="33"/>
      <c r="F715" s="24" t="s">
        <v>1680</v>
      </c>
      <c r="G715" s="46" t="s">
        <v>1681</v>
      </c>
      <c r="H715" s="53" t="s">
        <v>708</v>
      </c>
      <c r="I715" s="62" t="s">
        <v>709</v>
      </c>
      <c r="J715" s="29">
        <v>44650</v>
      </c>
      <c r="K715" s="1"/>
      <c r="L715" s="27"/>
      <c r="M715" s="27"/>
      <c r="N715" s="1">
        <v>3</v>
      </c>
      <c r="O715" s="45">
        <v>44736</v>
      </c>
      <c r="P715" s="1" t="s">
        <v>1616</v>
      </c>
    </row>
    <row r="716" ht="26" spans="2:17">
      <c r="B716" s="1">
        <v>715</v>
      </c>
      <c r="C716" s="24" t="s">
        <v>1682</v>
      </c>
      <c r="D716" s="24" t="s">
        <v>1683</v>
      </c>
      <c r="E716" s="33"/>
      <c r="F716" s="24" t="s">
        <v>1113</v>
      </c>
      <c r="G716" s="46" t="s">
        <v>1516</v>
      </c>
      <c r="H716" s="62" t="s">
        <v>709</v>
      </c>
      <c r="I716" s="62" t="s">
        <v>709</v>
      </c>
      <c r="J716" s="29">
        <v>44021</v>
      </c>
      <c r="K716" s="1"/>
      <c r="L716" s="27"/>
      <c r="M716" s="27"/>
      <c r="N716" s="1">
        <v>2</v>
      </c>
      <c r="O716" s="45">
        <v>44736</v>
      </c>
      <c r="P716" s="1" t="s">
        <v>1616</v>
      </c>
      <c r="Q716" s="65" t="s">
        <v>1684</v>
      </c>
    </row>
    <row r="717" ht="26" spans="2:17">
      <c r="B717" s="1">
        <v>716</v>
      </c>
      <c r="C717" s="24" t="s">
        <v>1685</v>
      </c>
      <c r="D717" s="24" t="s">
        <v>1683</v>
      </c>
      <c r="E717" s="33"/>
      <c r="F717" s="24" t="s">
        <v>1113</v>
      </c>
      <c r="G717" s="46" t="s">
        <v>1516</v>
      </c>
      <c r="H717" s="62" t="s">
        <v>709</v>
      </c>
      <c r="I717" s="62" t="s">
        <v>709</v>
      </c>
      <c r="J717" s="29">
        <v>44694</v>
      </c>
      <c r="K717" s="1"/>
      <c r="L717" s="27"/>
      <c r="M717" s="27"/>
      <c r="N717" s="1">
        <v>2</v>
      </c>
      <c r="O717" s="45">
        <v>44736</v>
      </c>
      <c r="P717" s="1" t="s">
        <v>1616</v>
      </c>
      <c r="Q717" s="65" t="s">
        <v>1684</v>
      </c>
    </row>
    <row r="718" ht="20.4" customHeight="1" spans="2:17">
      <c r="B718" s="1">
        <v>717</v>
      </c>
      <c r="C718" s="24" t="s">
        <v>1686</v>
      </c>
      <c r="D718" s="24" t="s">
        <v>1687</v>
      </c>
      <c r="E718" s="33"/>
      <c r="F718" s="24" t="s">
        <v>1268</v>
      </c>
      <c r="G718" s="24"/>
      <c r="H718" s="1"/>
      <c r="I718" s="1"/>
      <c r="J718" s="29">
        <v>44742</v>
      </c>
      <c r="K718" s="1">
        <v>3</v>
      </c>
      <c r="L718" s="27"/>
      <c r="M718" s="27"/>
      <c r="N718" s="1">
        <v>2</v>
      </c>
      <c r="O718" s="45">
        <v>44740</v>
      </c>
      <c r="P718" s="1" t="s">
        <v>1688</v>
      </c>
    </row>
    <row r="719" ht="26" spans="2:17">
      <c r="B719" s="1">
        <v>718</v>
      </c>
      <c r="C719" s="24" t="s">
        <v>1689</v>
      </c>
      <c r="D719" s="24" t="s">
        <v>1683</v>
      </c>
      <c r="E719" s="33"/>
      <c r="F719" s="24" t="s">
        <v>1690</v>
      </c>
      <c r="G719" s="24" t="s">
        <v>1691</v>
      </c>
      <c r="H719" s="1" t="s">
        <v>1692</v>
      </c>
      <c r="I719" s="1"/>
      <c r="J719" s="29">
        <v>44727</v>
      </c>
      <c r="K719" s="1"/>
      <c r="L719" s="27"/>
      <c r="M719" s="27"/>
      <c r="N719" s="1">
        <v>2</v>
      </c>
      <c r="O719" s="45">
        <v>44757</v>
      </c>
      <c r="P719" s="1" t="s">
        <v>1693</v>
      </c>
      <c r="Q719" s="65" t="s">
        <v>1684</v>
      </c>
    </row>
    <row r="720" ht="36" customHeight="1" spans="2:17">
      <c r="B720" s="1">
        <v>719</v>
      </c>
      <c r="C720" s="14" t="s">
        <v>1694</v>
      </c>
      <c r="D720" s="24" t="s">
        <v>1029</v>
      </c>
      <c r="E720" s="25">
        <v>1395274</v>
      </c>
      <c r="F720" s="24" t="s">
        <v>1695</v>
      </c>
      <c r="G720" s="24" t="s">
        <v>1595</v>
      </c>
      <c r="H720" s="1" t="s">
        <v>1031</v>
      </c>
      <c r="I720" s="1"/>
      <c r="J720" s="29">
        <v>44686</v>
      </c>
      <c r="K720" s="1">
        <v>19.5</v>
      </c>
      <c r="L720" s="27"/>
      <c r="M720" s="27"/>
      <c r="N720" s="1">
        <v>2</v>
      </c>
      <c r="O720" s="45">
        <v>44757</v>
      </c>
      <c r="P720" s="1" t="s">
        <v>1693</v>
      </c>
      <c r="Q720" s="65" t="s">
        <v>1696</v>
      </c>
    </row>
    <row r="721" ht="26" spans="2:17">
      <c r="B721" s="1">
        <v>720</v>
      </c>
      <c r="C721" s="24" t="s">
        <v>1697</v>
      </c>
      <c r="D721" s="24" t="s">
        <v>1029</v>
      </c>
      <c r="E721" s="33">
        <v>1400000</v>
      </c>
      <c r="F721" s="24" t="s">
        <v>1409</v>
      </c>
      <c r="G721" s="24" t="s">
        <v>1595</v>
      </c>
      <c r="H721" s="1"/>
      <c r="I721" s="1"/>
      <c r="J721" s="29">
        <v>44679</v>
      </c>
      <c r="K721" s="1">
        <v>19.5</v>
      </c>
      <c r="L721" s="27"/>
      <c r="M721" s="27"/>
      <c r="N721" s="1">
        <v>1</v>
      </c>
      <c r="O721" s="45">
        <v>44757</v>
      </c>
      <c r="P721" s="1" t="s">
        <v>1693</v>
      </c>
      <c r="Q721" s="65" t="s">
        <v>1696</v>
      </c>
    </row>
    <row r="722" ht="31.2" customHeight="1" spans="2:17">
      <c r="B722" s="1">
        <v>721</v>
      </c>
      <c r="C722" s="14" t="s">
        <v>1698</v>
      </c>
      <c r="D722" s="24" t="s">
        <v>1029</v>
      </c>
      <c r="E722" s="25">
        <v>1690873</v>
      </c>
      <c r="F722" s="24" t="s">
        <v>1695</v>
      </c>
      <c r="G722" s="24" t="s">
        <v>1595</v>
      </c>
      <c r="H722" s="1" t="s">
        <v>1031</v>
      </c>
      <c r="I722" s="1"/>
      <c r="J722" s="29">
        <v>44686</v>
      </c>
      <c r="K722" s="1">
        <v>19.5</v>
      </c>
      <c r="L722" s="27"/>
      <c r="M722" s="27"/>
      <c r="N722" s="1">
        <v>2</v>
      </c>
      <c r="O722" s="45">
        <v>44757</v>
      </c>
      <c r="P722" s="1" t="s">
        <v>1693</v>
      </c>
      <c r="Q722" s="65" t="s">
        <v>1696</v>
      </c>
    </row>
    <row r="723" ht="34.8" customHeight="1" spans="2:17">
      <c r="B723" s="1">
        <v>722</v>
      </c>
      <c r="C723" s="24" t="s">
        <v>1699</v>
      </c>
      <c r="D723" s="24" t="s">
        <v>1029</v>
      </c>
      <c r="E723" s="33">
        <v>1670000</v>
      </c>
      <c r="F723" s="24" t="s">
        <v>1409</v>
      </c>
      <c r="G723" s="24" t="s">
        <v>1595</v>
      </c>
      <c r="H723" s="1"/>
      <c r="I723" s="1"/>
      <c r="J723" s="29">
        <v>44679</v>
      </c>
      <c r="K723" s="1">
        <v>19.5</v>
      </c>
      <c r="L723" s="27"/>
      <c r="M723" s="27"/>
      <c r="N723" s="1">
        <v>1</v>
      </c>
      <c r="O723" s="45">
        <v>44757</v>
      </c>
      <c r="P723" s="1" t="s">
        <v>1693</v>
      </c>
      <c r="Q723" s="65" t="s">
        <v>1696</v>
      </c>
    </row>
    <row r="724" ht="26" spans="2:17">
      <c r="B724" s="1">
        <v>723</v>
      </c>
      <c r="C724" s="24" t="s">
        <v>1700</v>
      </c>
      <c r="D724" s="24" t="s">
        <v>1465</v>
      </c>
      <c r="E724" s="33"/>
      <c r="F724" s="24" t="s">
        <v>1701</v>
      </c>
      <c r="G724" s="24" t="s">
        <v>1702</v>
      </c>
      <c r="H724" s="1" t="s">
        <v>708</v>
      </c>
      <c r="I724" s="1"/>
      <c r="J724" s="29">
        <v>44440</v>
      </c>
      <c r="K724" s="1">
        <v>8</v>
      </c>
      <c r="L724" s="27"/>
      <c r="M724" s="27"/>
      <c r="N724" s="1">
        <v>3</v>
      </c>
      <c r="O724" s="45">
        <v>44757</v>
      </c>
      <c r="P724" s="1" t="s">
        <v>1693</v>
      </c>
      <c r="Q724" s="65" t="s">
        <v>1703</v>
      </c>
    </row>
    <row r="725" ht="26" spans="2:17">
      <c r="B725" s="1">
        <v>724</v>
      </c>
      <c r="C725" s="24" t="s">
        <v>1704</v>
      </c>
      <c r="D725" s="24" t="s">
        <v>1465</v>
      </c>
      <c r="E725" s="33"/>
      <c r="F725" s="24" t="s">
        <v>1701</v>
      </c>
      <c r="G725" s="24" t="s">
        <v>1702</v>
      </c>
      <c r="H725" s="1" t="s">
        <v>708</v>
      </c>
      <c r="I725" s="1"/>
      <c r="J725" s="29">
        <v>44440</v>
      </c>
      <c r="K725" s="1">
        <v>8</v>
      </c>
      <c r="L725" s="27"/>
      <c r="M725" s="27"/>
      <c r="N725" s="1">
        <v>3</v>
      </c>
      <c r="O725" s="45">
        <v>44757</v>
      </c>
      <c r="P725" s="1" t="s">
        <v>1693</v>
      </c>
      <c r="Q725" s="65" t="s">
        <v>1703</v>
      </c>
    </row>
    <row r="726" ht="25.95" customHeight="1" spans="2:17">
      <c r="B726" s="1">
        <v>725</v>
      </c>
      <c r="C726" s="24" t="s">
        <v>1705</v>
      </c>
      <c r="D726" s="24" t="s">
        <v>1465</v>
      </c>
      <c r="E726" s="33"/>
      <c r="F726" s="24" t="s">
        <v>1701</v>
      </c>
      <c r="G726" s="24" t="s">
        <v>1702</v>
      </c>
      <c r="H726" s="1" t="s">
        <v>708</v>
      </c>
      <c r="I726" s="1"/>
      <c r="J726" s="29">
        <v>44440</v>
      </c>
      <c r="K726" s="1">
        <v>8</v>
      </c>
      <c r="L726" s="27"/>
      <c r="M726" s="27"/>
      <c r="N726" s="1">
        <v>3</v>
      </c>
      <c r="O726" s="45">
        <v>44757</v>
      </c>
      <c r="P726" s="1" t="s">
        <v>1693</v>
      </c>
      <c r="Q726" s="65" t="s">
        <v>1703</v>
      </c>
    </row>
    <row r="727" ht="26" spans="2:17">
      <c r="B727" s="1">
        <v>726</v>
      </c>
      <c r="C727" s="24" t="s">
        <v>1706</v>
      </c>
      <c r="D727" s="24" t="s">
        <v>1452</v>
      </c>
      <c r="E727" s="25"/>
      <c r="F727" s="24" t="s">
        <v>1707</v>
      </c>
      <c r="G727" s="24" t="s">
        <v>1707</v>
      </c>
      <c r="H727" s="1"/>
      <c r="I727" s="1"/>
      <c r="J727" s="29">
        <v>44734</v>
      </c>
      <c r="K727" s="1">
        <v>-45</v>
      </c>
      <c r="L727" s="27"/>
      <c r="M727" s="27"/>
      <c r="N727" s="1">
        <v>2</v>
      </c>
      <c r="O727" s="45">
        <v>44762</v>
      </c>
      <c r="P727" s="1" t="s">
        <v>1693</v>
      </c>
      <c r="Q727" s="65" t="s">
        <v>1708</v>
      </c>
    </row>
    <row r="728" ht="168.6" customHeight="1" spans="2:17">
      <c r="B728" s="1">
        <v>727</v>
      </c>
      <c r="C728" s="24" t="s">
        <v>1709</v>
      </c>
      <c r="D728" s="24" t="s">
        <v>546</v>
      </c>
      <c r="E728" s="33"/>
      <c r="F728" s="24" t="s">
        <v>1097</v>
      </c>
      <c r="G728" s="24" t="s">
        <v>1710</v>
      </c>
      <c r="H728" s="1"/>
      <c r="I728" s="1"/>
      <c r="J728" s="29">
        <v>44682</v>
      </c>
      <c r="K728" s="1">
        <v>89.586</v>
      </c>
      <c r="L728" s="27"/>
      <c r="M728" s="27"/>
      <c r="N728" s="1">
        <v>2</v>
      </c>
      <c r="O728" s="45">
        <v>44762</v>
      </c>
      <c r="P728" s="1" t="s">
        <v>1693</v>
      </c>
      <c r="Q728" s="65" t="s">
        <v>1711</v>
      </c>
    </row>
    <row r="729" ht="26" spans="2:17">
      <c r="B729" s="1">
        <v>728</v>
      </c>
      <c r="C729" s="24" t="s">
        <v>1712</v>
      </c>
      <c r="D729" s="24" t="s">
        <v>1713</v>
      </c>
      <c r="E729" s="25">
        <v>40000</v>
      </c>
      <c r="F729" s="24" t="s">
        <v>1714</v>
      </c>
      <c r="G729" s="24" t="s">
        <v>1715</v>
      </c>
      <c r="H729" s="1"/>
      <c r="I729" s="1"/>
      <c r="J729" s="29">
        <v>44433</v>
      </c>
      <c r="K729" s="1"/>
      <c r="L729" s="27"/>
      <c r="M729" s="27"/>
      <c r="N729" s="1">
        <v>1</v>
      </c>
      <c r="O729" s="45">
        <v>44771</v>
      </c>
      <c r="P729" s="1" t="s">
        <v>1616</v>
      </c>
      <c r="Q729" s="65" t="s">
        <v>1684</v>
      </c>
    </row>
    <row r="730" ht="26" spans="2:17">
      <c r="B730" s="1">
        <v>729</v>
      </c>
      <c r="C730" s="24" t="s">
        <v>1716</v>
      </c>
      <c r="D730" s="24" t="s">
        <v>1346</v>
      </c>
      <c r="E730" s="25">
        <v>69.2</v>
      </c>
      <c r="F730" s="24" t="s">
        <v>1717</v>
      </c>
      <c r="G730" s="24" t="s">
        <v>1718</v>
      </c>
      <c r="H730" s="1"/>
      <c r="I730" s="1"/>
      <c r="J730" s="29">
        <v>44723</v>
      </c>
      <c r="K730" s="1"/>
      <c r="L730" s="27"/>
      <c r="M730" s="27"/>
      <c r="N730" s="1">
        <v>3</v>
      </c>
      <c r="O730" s="45">
        <v>44781</v>
      </c>
      <c r="P730" s="1" t="s">
        <v>1616</v>
      </c>
      <c r="Q730" s="65" t="s">
        <v>1719</v>
      </c>
    </row>
    <row r="731" ht="42" customHeight="1" spans="2:17">
      <c r="B731" s="1">
        <v>730</v>
      </c>
      <c r="C731" s="24" t="s">
        <v>1720</v>
      </c>
      <c r="D731" s="24" t="s">
        <v>1346</v>
      </c>
      <c r="E731" s="25">
        <v>19</v>
      </c>
      <c r="F731" s="24" t="s">
        <v>1717</v>
      </c>
      <c r="G731" s="24" t="s">
        <v>1721</v>
      </c>
      <c r="H731" s="1"/>
      <c r="I731" s="1"/>
      <c r="J731" s="29">
        <v>44723</v>
      </c>
      <c r="K731" s="1"/>
      <c r="L731" s="27"/>
      <c r="M731" s="27"/>
      <c r="N731" s="1">
        <v>3</v>
      </c>
      <c r="O731" s="45">
        <v>44781</v>
      </c>
      <c r="P731" s="1" t="s">
        <v>1616</v>
      </c>
      <c r="Q731" s="65" t="s">
        <v>1719</v>
      </c>
    </row>
    <row r="732" ht="26" spans="2:17">
      <c r="B732" s="1">
        <v>731</v>
      </c>
      <c r="C732" s="24" t="s">
        <v>1722</v>
      </c>
      <c r="D732" s="24" t="s">
        <v>1346</v>
      </c>
      <c r="E732" s="25">
        <v>34.6</v>
      </c>
      <c r="F732" s="24" t="s">
        <v>1717</v>
      </c>
      <c r="G732" s="24" t="s">
        <v>1723</v>
      </c>
      <c r="H732" s="1"/>
      <c r="I732" s="1"/>
      <c r="J732" s="29">
        <v>44726</v>
      </c>
      <c r="K732" s="1"/>
      <c r="L732" s="27"/>
      <c r="M732" s="27"/>
      <c r="N732" s="1">
        <v>3</v>
      </c>
      <c r="O732" s="45">
        <v>44781</v>
      </c>
      <c r="P732" s="1" t="s">
        <v>1616</v>
      </c>
      <c r="Q732" s="65" t="s">
        <v>1719</v>
      </c>
    </row>
    <row r="733" ht="26" spans="2:17">
      <c r="B733" s="1">
        <v>732</v>
      </c>
      <c r="C733" s="24" t="s">
        <v>1724</v>
      </c>
      <c r="D733" s="24" t="s">
        <v>1725</v>
      </c>
      <c r="E733" s="25">
        <v>4337600</v>
      </c>
      <c r="F733" s="24" t="s">
        <v>1113</v>
      </c>
      <c r="G733" s="24" t="s">
        <v>1726</v>
      </c>
      <c r="H733" s="1" t="s">
        <v>884</v>
      </c>
      <c r="I733" s="1"/>
      <c r="J733" s="29">
        <v>44781</v>
      </c>
      <c r="K733" s="1"/>
      <c r="L733" s="27"/>
      <c r="M733" s="27"/>
      <c r="N733" s="1">
        <v>3</v>
      </c>
      <c r="O733" s="45">
        <v>44781</v>
      </c>
      <c r="P733" s="1" t="s">
        <v>1644</v>
      </c>
      <c r="Q733" s="65" t="s">
        <v>1727</v>
      </c>
    </row>
    <row r="734" ht="26" spans="2:17">
      <c r="B734" s="1">
        <v>733</v>
      </c>
      <c r="C734" s="24" t="s">
        <v>1728</v>
      </c>
      <c r="D734" s="24" t="s">
        <v>1465</v>
      </c>
      <c r="E734" s="33"/>
      <c r="F734" s="24" t="s">
        <v>1729</v>
      </c>
      <c r="G734" s="24" t="s">
        <v>1730</v>
      </c>
      <c r="H734" s="1" t="s">
        <v>708</v>
      </c>
      <c r="I734" s="1" t="s">
        <v>884</v>
      </c>
      <c r="J734" s="29">
        <v>44774</v>
      </c>
      <c r="K734" s="1">
        <v>152</v>
      </c>
      <c r="L734" s="27"/>
      <c r="M734" s="27"/>
      <c r="N734" s="1">
        <v>2</v>
      </c>
      <c r="O734" s="45">
        <v>44790</v>
      </c>
      <c r="P734" s="1" t="s">
        <v>1651</v>
      </c>
      <c r="Q734" s="65" t="s">
        <v>1703</v>
      </c>
    </row>
    <row r="735" ht="26" spans="2:17">
      <c r="B735" s="1">
        <v>734</v>
      </c>
      <c r="C735" s="66" t="s">
        <v>1731</v>
      </c>
      <c r="D735" s="24" t="s">
        <v>546</v>
      </c>
      <c r="E735" s="25"/>
      <c r="F735" s="24" t="s">
        <v>954</v>
      </c>
      <c r="G735" s="24" t="s">
        <v>954</v>
      </c>
      <c r="H735" s="67" t="s">
        <v>709</v>
      </c>
      <c r="I735" s="67" t="s">
        <v>709</v>
      </c>
      <c r="J735" s="68">
        <v>42614</v>
      </c>
      <c r="K735" s="69">
        <v>200</v>
      </c>
      <c r="L735" s="27"/>
      <c r="M735" s="27"/>
      <c r="N735" s="1">
        <v>2</v>
      </c>
      <c r="O735" s="45">
        <v>44796</v>
      </c>
      <c r="P735" s="1" t="s">
        <v>1655</v>
      </c>
      <c r="Q735" s="65" t="s">
        <v>1711</v>
      </c>
    </row>
    <row r="736" ht="30" spans="2:17">
      <c r="B736" s="1">
        <v>735</v>
      </c>
      <c r="C736" s="66" t="s">
        <v>1732</v>
      </c>
      <c r="D736" s="24" t="s">
        <v>546</v>
      </c>
      <c r="E736" s="25"/>
      <c r="F736" s="24" t="s">
        <v>954</v>
      </c>
      <c r="G736" s="24" t="s">
        <v>954</v>
      </c>
      <c r="H736" s="67" t="s">
        <v>709</v>
      </c>
      <c r="I736" s="67" t="s">
        <v>709</v>
      </c>
      <c r="J736" s="68">
        <v>43419</v>
      </c>
      <c r="K736" s="69">
        <v>12.6826</v>
      </c>
      <c r="L736" s="27"/>
      <c r="M736" s="27"/>
      <c r="N736" s="1">
        <v>2</v>
      </c>
      <c r="O736" s="45">
        <v>44796</v>
      </c>
      <c r="P736" s="1" t="s">
        <v>1655</v>
      </c>
      <c r="Q736" s="65" t="s">
        <v>1711</v>
      </c>
    </row>
    <row r="737" ht="30" spans="2:17">
      <c r="B737" s="1">
        <v>736</v>
      </c>
      <c r="C737" s="66" t="s">
        <v>1733</v>
      </c>
      <c r="D737" s="24" t="s">
        <v>546</v>
      </c>
      <c r="E737" s="25"/>
      <c r="F737" s="24" t="s">
        <v>954</v>
      </c>
      <c r="G737" s="24" t="s">
        <v>954</v>
      </c>
      <c r="H737" s="67" t="s">
        <v>709</v>
      </c>
      <c r="I737" s="67" t="s">
        <v>709</v>
      </c>
      <c r="J737" s="68">
        <v>43534</v>
      </c>
      <c r="K737" s="69">
        <v>34.1049</v>
      </c>
      <c r="L737" s="27"/>
      <c r="M737" s="27"/>
      <c r="N737" s="1">
        <v>2</v>
      </c>
      <c r="O737" s="45">
        <v>44796</v>
      </c>
      <c r="P737" s="1" t="s">
        <v>1655</v>
      </c>
      <c r="Q737" s="65" t="s">
        <v>1711</v>
      </c>
    </row>
    <row r="738" ht="30" spans="2:17">
      <c r="B738" s="1">
        <v>737</v>
      </c>
      <c r="C738" s="66" t="s">
        <v>1734</v>
      </c>
      <c r="D738" s="24" t="s">
        <v>546</v>
      </c>
      <c r="E738" s="25"/>
      <c r="F738" s="24" t="s">
        <v>954</v>
      </c>
      <c r="G738" s="24" t="s">
        <v>954</v>
      </c>
      <c r="H738" s="67" t="s">
        <v>709</v>
      </c>
      <c r="I738" s="67" t="s">
        <v>709</v>
      </c>
      <c r="J738" s="68">
        <v>43709</v>
      </c>
      <c r="K738" s="69">
        <v>7.84</v>
      </c>
      <c r="L738" s="27"/>
      <c r="M738" s="27"/>
      <c r="N738" s="1">
        <v>2</v>
      </c>
      <c r="O738" s="45">
        <v>44796</v>
      </c>
      <c r="P738" s="1" t="s">
        <v>1655</v>
      </c>
      <c r="Q738" s="65" t="s">
        <v>1711</v>
      </c>
    </row>
    <row r="739" ht="26" spans="2:17">
      <c r="B739" s="1">
        <v>738</v>
      </c>
      <c r="C739" s="66" t="s">
        <v>1735</v>
      </c>
      <c r="D739" s="24" t="s">
        <v>546</v>
      </c>
      <c r="E739" s="25"/>
      <c r="F739" s="24" t="s">
        <v>954</v>
      </c>
      <c r="G739" s="24" t="s">
        <v>954</v>
      </c>
      <c r="H739" s="67" t="s">
        <v>709</v>
      </c>
      <c r="I739" s="67" t="s">
        <v>709</v>
      </c>
      <c r="J739" s="68">
        <v>43746</v>
      </c>
      <c r="K739" s="69">
        <v>100</v>
      </c>
      <c r="L739" s="27"/>
      <c r="M739" s="27"/>
      <c r="N739" s="1">
        <v>2</v>
      </c>
      <c r="O739" s="45">
        <v>44796</v>
      </c>
      <c r="P739" s="1" t="s">
        <v>1655</v>
      </c>
      <c r="Q739" s="65" t="s">
        <v>1711</v>
      </c>
    </row>
    <row r="740" ht="39" spans="2:17">
      <c r="B740" s="1">
        <v>739</v>
      </c>
      <c r="C740" s="24" t="s">
        <v>1736</v>
      </c>
      <c r="D740" s="24" t="s">
        <v>1737</v>
      </c>
      <c r="E740" s="33"/>
      <c r="F740" s="24" t="s">
        <v>954</v>
      </c>
      <c r="G740" s="24" t="s">
        <v>1738</v>
      </c>
      <c r="H740" s="67" t="s">
        <v>709</v>
      </c>
      <c r="I740" s="67" t="s">
        <v>709</v>
      </c>
      <c r="J740" s="29">
        <v>44256</v>
      </c>
      <c r="K740" s="1"/>
      <c r="L740" s="27"/>
      <c r="M740" s="27"/>
      <c r="N740" s="1">
        <v>2</v>
      </c>
      <c r="O740" s="45">
        <v>44796</v>
      </c>
      <c r="P740" s="1" t="s">
        <v>1655</v>
      </c>
      <c r="Q740" s="65" t="s">
        <v>1739</v>
      </c>
    </row>
    <row r="741" ht="72.6" customHeight="1" spans="2:17">
      <c r="B741" s="1">
        <v>740</v>
      </c>
      <c r="C741" s="70" t="s">
        <v>1740</v>
      </c>
      <c r="D741" s="24" t="s">
        <v>546</v>
      </c>
      <c r="E741" s="25"/>
      <c r="F741" s="24" t="s">
        <v>1741</v>
      </c>
      <c r="G741" s="24" t="s">
        <v>1742</v>
      </c>
      <c r="H741" s="1"/>
      <c r="I741" s="1"/>
      <c r="J741" s="71">
        <v>43040</v>
      </c>
      <c r="K741" s="72">
        <v>20</v>
      </c>
      <c r="L741" s="27"/>
      <c r="M741" s="27"/>
      <c r="N741" s="73">
        <v>1</v>
      </c>
      <c r="O741" s="74">
        <v>44799</v>
      </c>
      <c r="P741" s="75" t="s">
        <v>1693</v>
      </c>
      <c r="Q741" s="65" t="s">
        <v>1739</v>
      </c>
    </row>
    <row r="742" ht="28" spans="2:17">
      <c r="B742" s="1">
        <v>741</v>
      </c>
      <c r="C742" s="70" t="s">
        <v>1743</v>
      </c>
      <c r="D742" s="24" t="s">
        <v>546</v>
      </c>
      <c r="E742" s="25"/>
      <c r="F742" s="24" t="s">
        <v>1744</v>
      </c>
      <c r="G742" s="24" t="s">
        <v>1745</v>
      </c>
      <c r="H742" s="1"/>
      <c r="I742" s="1"/>
      <c r="J742" s="71">
        <v>43525</v>
      </c>
      <c r="K742" s="72">
        <v>50</v>
      </c>
      <c r="L742" s="27"/>
      <c r="M742" s="27"/>
      <c r="N742" s="73">
        <v>1</v>
      </c>
      <c r="O742" s="74">
        <v>44799</v>
      </c>
      <c r="P742" s="75" t="s">
        <v>1693</v>
      </c>
      <c r="Q742" s="65" t="s">
        <v>1739</v>
      </c>
    </row>
    <row r="743" ht="39" spans="2:17">
      <c r="B743" s="1">
        <v>742</v>
      </c>
      <c r="C743" s="70" t="s">
        <v>1746</v>
      </c>
      <c r="D743" s="24" t="s">
        <v>546</v>
      </c>
      <c r="E743" s="25"/>
      <c r="F743" s="24" t="s">
        <v>1747</v>
      </c>
      <c r="G743" s="24" t="s">
        <v>1748</v>
      </c>
      <c r="H743" s="1"/>
      <c r="I743" s="1"/>
      <c r="J743" s="71">
        <v>43586</v>
      </c>
      <c r="K743" s="72">
        <v>15.6</v>
      </c>
      <c r="L743" s="27"/>
      <c r="M743" s="27"/>
      <c r="N743" s="73">
        <v>1</v>
      </c>
      <c r="O743" s="74">
        <v>44799</v>
      </c>
      <c r="P743" s="75" t="s">
        <v>1693</v>
      </c>
      <c r="Q743" s="65" t="s">
        <v>1739</v>
      </c>
    </row>
    <row r="744" ht="28" spans="2:17">
      <c r="B744" s="1">
        <v>743</v>
      </c>
      <c r="C744" s="70" t="s">
        <v>1749</v>
      </c>
      <c r="D744" s="24" t="s">
        <v>546</v>
      </c>
      <c r="E744" s="25"/>
      <c r="F744" s="24" t="s">
        <v>1750</v>
      </c>
      <c r="G744" s="24" t="s">
        <v>1751</v>
      </c>
      <c r="H744" s="1"/>
      <c r="I744" s="1"/>
      <c r="J744" s="71">
        <v>43678</v>
      </c>
      <c r="K744" s="72">
        <v>7.84</v>
      </c>
      <c r="L744" s="27"/>
      <c r="M744" s="27"/>
      <c r="N744" s="73">
        <v>1</v>
      </c>
      <c r="O744" s="74">
        <v>44799</v>
      </c>
      <c r="P744" s="75" t="s">
        <v>1693</v>
      </c>
      <c r="Q744" s="65" t="s">
        <v>1739</v>
      </c>
    </row>
    <row r="745" ht="39" spans="2:17">
      <c r="B745" s="1">
        <v>744</v>
      </c>
      <c r="C745" s="70" t="s">
        <v>1752</v>
      </c>
      <c r="D745" s="24" t="s">
        <v>546</v>
      </c>
      <c r="E745" s="25"/>
      <c r="F745" s="24" t="s">
        <v>1747</v>
      </c>
      <c r="G745" s="24" t="s">
        <v>1748</v>
      </c>
      <c r="H745" s="1"/>
      <c r="I745" s="1"/>
      <c r="J745" s="71">
        <v>43709</v>
      </c>
      <c r="K745" s="72">
        <v>15.84</v>
      </c>
      <c r="L745" s="27"/>
      <c r="M745" s="27"/>
      <c r="N745" s="73">
        <v>1</v>
      </c>
      <c r="O745" s="74">
        <v>44799</v>
      </c>
      <c r="P745" s="75" t="s">
        <v>1693</v>
      </c>
      <c r="Q745" s="65" t="s">
        <v>1739</v>
      </c>
    </row>
    <row r="746" ht="28" spans="2:17">
      <c r="B746" s="1">
        <v>745</v>
      </c>
      <c r="C746" s="70" t="s">
        <v>1753</v>
      </c>
      <c r="D746" s="24" t="s">
        <v>546</v>
      </c>
      <c r="E746" s="25"/>
      <c r="F746" s="24" t="s">
        <v>1741</v>
      </c>
      <c r="G746" s="24" t="s">
        <v>1754</v>
      </c>
      <c r="H746" s="1"/>
      <c r="I746" s="1"/>
      <c r="J746" s="71">
        <v>43739</v>
      </c>
      <c r="K746" s="72">
        <v>36</v>
      </c>
      <c r="L746" s="27"/>
      <c r="M746" s="27"/>
      <c r="N746" s="73">
        <v>1</v>
      </c>
      <c r="O746" s="74">
        <v>44799</v>
      </c>
      <c r="P746" s="75" t="s">
        <v>1693</v>
      </c>
      <c r="Q746" s="65" t="s">
        <v>1739</v>
      </c>
    </row>
    <row r="747" ht="28" spans="2:17">
      <c r="B747" s="1">
        <v>746</v>
      </c>
      <c r="C747" s="70" t="s">
        <v>1755</v>
      </c>
      <c r="D747" s="24" t="s">
        <v>546</v>
      </c>
      <c r="E747" s="33"/>
      <c r="F747" s="24" t="s">
        <v>1750</v>
      </c>
      <c r="G747" s="24" t="s">
        <v>1756</v>
      </c>
      <c r="H747" s="1"/>
      <c r="I747" s="1"/>
      <c r="J747" s="71">
        <v>43952</v>
      </c>
      <c r="K747" s="72">
        <v>7.6</v>
      </c>
      <c r="L747" s="27"/>
      <c r="M747" s="27"/>
      <c r="N747" s="73">
        <v>1</v>
      </c>
      <c r="O747" s="74">
        <v>44799</v>
      </c>
      <c r="P747" s="75" t="s">
        <v>1693</v>
      </c>
      <c r="Q747" s="65" t="s">
        <v>1739</v>
      </c>
    </row>
    <row r="748" ht="28" spans="2:17">
      <c r="B748" s="1">
        <v>747</v>
      </c>
      <c r="C748" s="70" t="s">
        <v>1757</v>
      </c>
      <c r="D748" s="24" t="s">
        <v>546</v>
      </c>
      <c r="E748" s="33"/>
      <c r="F748" s="24" t="s">
        <v>1741</v>
      </c>
      <c r="G748" s="24" t="s">
        <v>1758</v>
      </c>
      <c r="H748" s="1"/>
      <c r="I748" s="1"/>
      <c r="J748" s="71">
        <v>43983</v>
      </c>
      <c r="K748" s="72">
        <v>292</v>
      </c>
      <c r="L748" s="27"/>
      <c r="M748" s="27"/>
      <c r="N748" s="73">
        <v>1</v>
      </c>
      <c r="O748" s="74">
        <v>44799</v>
      </c>
      <c r="P748" s="75" t="s">
        <v>1693</v>
      </c>
      <c r="Q748" s="65" t="s">
        <v>1739</v>
      </c>
    </row>
    <row r="749" ht="26" spans="2:17">
      <c r="B749" s="1">
        <v>748</v>
      </c>
      <c r="C749" s="70" t="s">
        <v>1759</v>
      </c>
      <c r="D749" s="24" t="s">
        <v>546</v>
      </c>
      <c r="E749" s="33"/>
      <c r="F749" s="24" t="s">
        <v>1760</v>
      </c>
      <c r="G749" s="24" t="s">
        <v>1761</v>
      </c>
      <c r="H749" s="1"/>
      <c r="I749" s="1"/>
      <c r="J749" s="71">
        <v>44013</v>
      </c>
      <c r="K749" s="72">
        <v>192</v>
      </c>
      <c r="L749" s="27"/>
      <c r="M749" s="27"/>
      <c r="N749" s="73">
        <v>1</v>
      </c>
      <c r="O749" s="74">
        <v>44799</v>
      </c>
      <c r="P749" s="75" t="s">
        <v>1693</v>
      </c>
      <c r="Q749" s="65" t="s">
        <v>1739</v>
      </c>
    </row>
    <row r="750" ht="42" spans="2:17">
      <c r="B750" s="1">
        <v>749</v>
      </c>
      <c r="C750" s="70" t="s">
        <v>1762</v>
      </c>
      <c r="D750" s="24" t="s">
        <v>546</v>
      </c>
      <c r="E750" s="33"/>
      <c r="F750" s="24" t="s">
        <v>1750</v>
      </c>
      <c r="G750" s="24" t="s">
        <v>1763</v>
      </c>
      <c r="H750" s="1"/>
      <c r="I750" s="1"/>
      <c r="J750" s="71">
        <v>44044</v>
      </c>
      <c r="K750" s="72">
        <v>7.6</v>
      </c>
      <c r="L750" s="27"/>
      <c r="M750" s="27"/>
      <c r="N750" s="73">
        <v>1</v>
      </c>
      <c r="O750" s="74">
        <v>44799</v>
      </c>
      <c r="P750" s="75" t="s">
        <v>1693</v>
      </c>
      <c r="Q750" s="65" t="s">
        <v>1739</v>
      </c>
    </row>
    <row r="751" ht="28" spans="2:17">
      <c r="B751" s="1">
        <v>750</v>
      </c>
      <c r="C751" s="70" t="s">
        <v>1764</v>
      </c>
      <c r="D751" s="24" t="s">
        <v>546</v>
      </c>
      <c r="E751" s="33"/>
      <c r="F751" s="24" t="s">
        <v>1750</v>
      </c>
      <c r="G751" s="24" t="s">
        <v>1765</v>
      </c>
      <c r="H751" s="1"/>
      <c r="I751" s="1"/>
      <c r="J751" s="71">
        <v>44075</v>
      </c>
      <c r="K751" s="72">
        <v>7.6</v>
      </c>
      <c r="L751" s="27"/>
      <c r="M751" s="27"/>
      <c r="N751" s="73">
        <v>1</v>
      </c>
      <c r="O751" s="74">
        <v>44799</v>
      </c>
      <c r="P751" s="75" t="s">
        <v>1693</v>
      </c>
      <c r="Q751" s="65" t="s">
        <v>1739</v>
      </c>
    </row>
    <row r="752" ht="28" spans="2:17">
      <c r="B752" s="1">
        <v>751</v>
      </c>
      <c r="C752" s="70" t="s">
        <v>1766</v>
      </c>
      <c r="D752" s="24" t="s">
        <v>546</v>
      </c>
      <c r="E752" s="33"/>
      <c r="F752" s="24" t="s">
        <v>1741</v>
      </c>
      <c r="G752" s="24" t="s">
        <v>1758</v>
      </c>
      <c r="H752" s="1"/>
      <c r="I752" s="1"/>
      <c r="J752" s="71">
        <v>44105</v>
      </c>
      <c r="K752" s="72">
        <v>69.999998</v>
      </c>
      <c r="L752" s="27"/>
      <c r="M752" s="27"/>
      <c r="N752" s="73">
        <v>1</v>
      </c>
      <c r="O752" s="74">
        <v>44799</v>
      </c>
      <c r="P752" s="75" t="s">
        <v>1693</v>
      </c>
      <c r="Q752" s="65" t="s">
        <v>1739</v>
      </c>
    </row>
    <row r="753" ht="39" spans="1:17">
      <c r="B753" s="1">
        <v>752</v>
      </c>
      <c r="C753" s="70" t="s">
        <v>1767</v>
      </c>
      <c r="D753" s="24" t="s">
        <v>546</v>
      </c>
      <c r="E753" s="33"/>
      <c r="F753" s="24" t="s">
        <v>1097</v>
      </c>
      <c r="G753" s="24" t="s">
        <v>1768</v>
      </c>
      <c r="H753" s="1"/>
      <c r="I753" s="1"/>
      <c r="J753" s="71">
        <v>44197</v>
      </c>
      <c r="K753" s="72">
        <v>20</v>
      </c>
      <c r="L753" s="27"/>
      <c r="M753" s="27"/>
      <c r="N753" s="73">
        <v>1</v>
      </c>
      <c r="O753" s="74">
        <v>44799</v>
      </c>
      <c r="P753" s="75" t="s">
        <v>1693</v>
      </c>
      <c r="Q753" s="65" t="s">
        <v>1739</v>
      </c>
    </row>
    <row r="754" ht="34.2" customHeight="1" spans="1:17">
      <c r="B754" s="1">
        <v>753</v>
      </c>
      <c r="C754" s="70" t="s">
        <v>1769</v>
      </c>
      <c r="D754" s="24" t="s">
        <v>546</v>
      </c>
      <c r="E754" s="33"/>
      <c r="F754" s="24" t="s">
        <v>1770</v>
      </c>
      <c r="G754" s="24" t="s">
        <v>1771</v>
      </c>
      <c r="H754" s="1"/>
      <c r="I754" s="1"/>
      <c r="J754" s="71">
        <v>44256</v>
      </c>
      <c r="K754" s="72">
        <v>144.999996</v>
      </c>
      <c r="L754" s="27"/>
      <c r="M754" s="27"/>
      <c r="N754" s="73">
        <v>1</v>
      </c>
      <c r="O754" s="74">
        <v>44799</v>
      </c>
      <c r="P754" s="75" t="s">
        <v>1693</v>
      </c>
      <c r="Q754" s="65" t="s">
        <v>1739</v>
      </c>
    </row>
    <row r="755" ht="36" customHeight="1" spans="1:17">
      <c r="B755" s="1">
        <v>754</v>
      </c>
      <c r="C755" s="70" t="s">
        <v>1772</v>
      </c>
      <c r="D755" s="24" t="s">
        <v>546</v>
      </c>
      <c r="E755" s="33"/>
      <c r="F755" s="24"/>
      <c r="G755" s="24"/>
      <c r="H755" s="1"/>
      <c r="I755" s="1"/>
      <c r="J755" s="71">
        <v>44470</v>
      </c>
      <c r="K755" s="72">
        <v>183.155994</v>
      </c>
      <c r="L755" s="27"/>
      <c r="M755" s="27"/>
      <c r="N755" s="73">
        <v>1</v>
      </c>
      <c r="O755" s="74">
        <v>44799</v>
      </c>
      <c r="P755" s="75" t="s">
        <v>1693</v>
      </c>
      <c r="Q755" s="65" t="s">
        <v>1739</v>
      </c>
    </row>
    <row r="756" ht="57" customHeight="1" spans="1:17">
      <c r="B756" s="1">
        <v>755</v>
      </c>
      <c r="C756" s="70" t="s">
        <v>1773</v>
      </c>
      <c r="D756" s="24" t="s">
        <v>546</v>
      </c>
      <c r="E756" s="33"/>
      <c r="F756" s="24" t="s">
        <v>1747</v>
      </c>
      <c r="G756" s="24" t="s">
        <v>1748</v>
      </c>
      <c r="H756" s="1"/>
      <c r="I756" s="1"/>
      <c r="J756" s="71">
        <v>44501</v>
      </c>
      <c r="K756" s="72">
        <v>15.84</v>
      </c>
      <c r="L756" s="27"/>
      <c r="M756" s="27"/>
      <c r="N756" s="73">
        <v>1</v>
      </c>
      <c r="O756" s="74">
        <v>44799</v>
      </c>
      <c r="P756" s="75" t="s">
        <v>1693</v>
      </c>
      <c r="Q756" s="65" t="s">
        <v>1739</v>
      </c>
    </row>
    <row r="757" ht="58.2" customHeight="1" spans="1:17">
      <c r="B757" s="1">
        <v>756</v>
      </c>
      <c r="C757" s="70" t="s">
        <v>1774</v>
      </c>
      <c r="D757" s="24" t="s">
        <v>546</v>
      </c>
      <c r="E757" s="33"/>
      <c r="F757" s="24" t="s">
        <v>1747</v>
      </c>
      <c r="G757" s="24" t="s">
        <v>1748</v>
      </c>
      <c r="H757" s="1"/>
      <c r="I757" s="1"/>
      <c r="J757" s="71">
        <v>44501</v>
      </c>
      <c r="K757" s="72">
        <v>15.84</v>
      </c>
      <c r="L757" s="27"/>
      <c r="M757" s="27"/>
      <c r="N757" s="73">
        <v>1</v>
      </c>
      <c r="O757" s="74">
        <v>44799</v>
      </c>
      <c r="P757" s="75" t="s">
        <v>1693</v>
      </c>
      <c r="Q757" s="65" t="s">
        <v>1739</v>
      </c>
    </row>
    <row r="758" ht="37.8" customHeight="1" spans="1:17">
      <c r="B758" s="1">
        <v>757</v>
      </c>
      <c r="C758" s="24" t="s">
        <v>1775</v>
      </c>
      <c r="D758" s="24" t="s">
        <v>1776</v>
      </c>
      <c r="E758" s="33"/>
      <c r="F758" s="24" t="s">
        <v>1173</v>
      </c>
      <c r="G758" s="24" t="s">
        <v>1777</v>
      </c>
      <c r="H758" s="1"/>
      <c r="I758" s="1"/>
      <c r="J758" s="29">
        <v>44624</v>
      </c>
      <c r="K758" s="1"/>
      <c r="L758" s="27"/>
      <c r="M758" s="27"/>
      <c r="N758" s="76">
        <v>1</v>
      </c>
      <c r="O758" s="45">
        <v>44820</v>
      </c>
      <c r="P758" s="1" t="s">
        <v>1616</v>
      </c>
      <c r="Q758" s="65" t="s">
        <v>1778</v>
      </c>
    </row>
    <row r="759" ht="26" spans="1:17">
      <c r="B759" s="1">
        <v>758</v>
      </c>
      <c r="C759" s="24" t="s">
        <v>1779</v>
      </c>
      <c r="D759" s="24" t="s">
        <v>1420</v>
      </c>
      <c r="E759" s="25">
        <v>56</v>
      </c>
      <c r="F759" s="24" t="s">
        <v>1780</v>
      </c>
      <c r="G759" s="24" t="s">
        <v>1780</v>
      </c>
      <c r="H759" s="1" t="s">
        <v>708</v>
      </c>
      <c r="I759" s="1" t="s">
        <v>1364</v>
      </c>
      <c r="J759" s="29">
        <v>44452</v>
      </c>
      <c r="K759" s="1"/>
      <c r="L759" s="27"/>
      <c r="M759" s="27"/>
      <c r="N759" s="76">
        <v>5</v>
      </c>
      <c r="O759" s="45">
        <v>44820</v>
      </c>
      <c r="P759" s="1" t="s">
        <v>1616</v>
      </c>
      <c r="Q759" s="65" t="s">
        <v>1781</v>
      </c>
    </row>
    <row r="760" ht="26" spans="1:17">
      <c r="B760" s="1">
        <v>759</v>
      </c>
      <c r="C760" s="24" t="s">
        <v>1782</v>
      </c>
      <c r="D760" s="24" t="s">
        <v>1124</v>
      </c>
      <c r="E760" s="25">
        <v>613143</v>
      </c>
      <c r="F760" s="24" t="s">
        <v>1783</v>
      </c>
      <c r="G760" s="24" t="s">
        <v>1784</v>
      </c>
      <c r="H760" s="1"/>
      <c r="I760" s="1"/>
      <c r="J760" s="29">
        <v>44723</v>
      </c>
      <c r="K760" s="1">
        <v>4.8</v>
      </c>
      <c r="L760" s="27"/>
      <c r="M760" s="27"/>
      <c r="N760" s="76">
        <v>3</v>
      </c>
      <c r="O760" s="45">
        <v>44565</v>
      </c>
      <c r="P760" s="75" t="s">
        <v>1693</v>
      </c>
      <c r="Q760" s="65" t="s">
        <v>1785</v>
      </c>
    </row>
    <row r="761" s="2" customFormat="1" ht="26" spans="1:17">
      <c r="A761" s="5"/>
      <c r="B761" s="23">
        <v>760</v>
      </c>
      <c r="C761" s="14" t="s">
        <v>1786</v>
      </c>
      <c r="D761" s="14" t="s">
        <v>1029</v>
      </c>
      <c r="E761" s="25">
        <v>1395274</v>
      </c>
      <c r="F761" s="14" t="s">
        <v>1787</v>
      </c>
      <c r="G761" s="14" t="s">
        <v>1788</v>
      </c>
      <c r="H761" s="23" t="s">
        <v>1031</v>
      </c>
      <c r="I761" s="23"/>
      <c r="J761" s="26">
        <v>44795</v>
      </c>
      <c r="K761" s="23">
        <v>12</v>
      </c>
      <c r="L761" s="27"/>
      <c r="M761" s="27"/>
      <c r="N761" s="77">
        <v>2</v>
      </c>
      <c r="O761" s="26">
        <v>44565</v>
      </c>
      <c r="P761" s="75" t="s">
        <v>1693</v>
      </c>
      <c r="Q761" s="78" t="s">
        <v>1696</v>
      </c>
    </row>
    <row r="762" s="2" customFormat="1" ht="39" spans="1:17">
      <c r="A762" s="5"/>
      <c r="B762" s="23">
        <v>761</v>
      </c>
      <c r="C762" s="14" t="s">
        <v>1789</v>
      </c>
      <c r="D762" s="14" t="s">
        <v>1029</v>
      </c>
      <c r="E762" s="25">
        <v>4146600</v>
      </c>
      <c r="F762" s="14" t="s">
        <v>1790</v>
      </c>
      <c r="G762" s="14" t="s">
        <v>1791</v>
      </c>
      <c r="H762" s="23" t="s">
        <v>1031</v>
      </c>
      <c r="I762" s="23"/>
      <c r="J762" s="26">
        <v>44831</v>
      </c>
      <c r="K762" s="23">
        <v>9.5</v>
      </c>
      <c r="L762" s="27"/>
      <c r="M762" s="27"/>
      <c r="N762" s="77">
        <v>2</v>
      </c>
      <c r="O762" s="26">
        <v>44565</v>
      </c>
      <c r="P762" s="75" t="s">
        <v>1693</v>
      </c>
      <c r="Q762" s="78" t="s">
        <v>1696</v>
      </c>
    </row>
    <row r="763" ht="91" spans="1:17">
      <c r="B763" s="1">
        <v>762</v>
      </c>
      <c r="C763" s="24" t="s">
        <v>1792</v>
      </c>
      <c r="D763" s="24" t="s">
        <v>1500</v>
      </c>
      <c r="E763" s="25">
        <v>308.92</v>
      </c>
      <c r="F763" s="24" t="s">
        <v>1793</v>
      </c>
      <c r="G763" s="24" t="s">
        <v>1794</v>
      </c>
      <c r="H763" s="1" t="s">
        <v>708</v>
      </c>
      <c r="I763" s="1" t="s">
        <v>1795</v>
      </c>
      <c r="J763" s="29">
        <v>44826</v>
      </c>
      <c r="K763" s="1">
        <v>761.8</v>
      </c>
      <c r="L763" s="27"/>
      <c r="M763" s="27"/>
      <c r="N763" s="1">
        <v>3</v>
      </c>
      <c r="O763" s="45">
        <v>44565</v>
      </c>
      <c r="P763" s="75" t="s">
        <v>1693</v>
      </c>
      <c r="Q763" s="65" t="s">
        <v>1796</v>
      </c>
    </row>
    <row r="764" ht="39" spans="1:17">
      <c r="B764" s="1">
        <v>763</v>
      </c>
      <c r="C764" s="24" t="s">
        <v>1797</v>
      </c>
      <c r="D764" s="24" t="s">
        <v>1500</v>
      </c>
      <c r="E764" s="79">
        <v>1605600</v>
      </c>
      <c r="F764" s="24" t="s">
        <v>1798</v>
      </c>
      <c r="G764" s="24" t="s">
        <v>1799</v>
      </c>
      <c r="H764" s="1" t="s">
        <v>708</v>
      </c>
      <c r="I764" s="1" t="s">
        <v>884</v>
      </c>
      <c r="J764" s="29">
        <v>44531</v>
      </c>
      <c r="K764" s="1">
        <v>334</v>
      </c>
      <c r="L764" s="27"/>
      <c r="M764" s="27"/>
      <c r="N764" s="1">
        <v>3</v>
      </c>
      <c r="O764" s="45">
        <v>44565</v>
      </c>
      <c r="P764" s="75" t="s">
        <v>1693</v>
      </c>
      <c r="Q764" s="65" t="s">
        <v>1796</v>
      </c>
    </row>
    <row r="765" ht="52" spans="1:17">
      <c r="B765" s="1">
        <v>764</v>
      </c>
      <c r="C765" s="24" t="s">
        <v>1800</v>
      </c>
      <c r="D765" s="24" t="s">
        <v>1801</v>
      </c>
      <c r="E765" s="33"/>
      <c r="F765" s="24" t="s">
        <v>1802</v>
      </c>
      <c r="G765" s="24" t="s">
        <v>1803</v>
      </c>
      <c r="H765" s="1"/>
      <c r="I765" s="1"/>
      <c r="J765" s="29">
        <v>44805</v>
      </c>
      <c r="K765" s="1"/>
      <c r="L765" s="27"/>
      <c r="M765" s="27"/>
      <c r="N765" s="1">
        <v>2</v>
      </c>
      <c r="O765" s="45">
        <v>44565</v>
      </c>
      <c r="P765" s="75" t="s">
        <v>1693</v>
      </c>
      <c r="Q765" s="65" t="s">
        <v>1804</v>
      </c>
    </row>
    <row r="766" ht="65" spans="1:17">
      <c r="B766" s="1">
        <v>765</v>
      </c>
      <c r="C766" s="24" t="s">
        <v>1805</v>
      </c>
      <c r="D766" s="24" t="s">
        <v>1806</v>
      </c>
      <c r="E766" s="33"/>
      <c r="F766" s="24" t="s">
        <v>1701</v>
      </c>
      <c r="G766" s="24" t="s">
        <v>1807</v>
      </c>
      <c r="H766" s="1"/>
      <c r="I766" s="1"/>
      <c r="J766" s="29">
        <v>44880</v>
      </c>
      <c r="K766" s="1">
        <v>12</v>
      </c>
      <c r="L766" s="27"/>
      <c r="M766" s="27"/>
      <c r="N766" s="1">
        <v>2</v>
      </c>
      <c r="O766" s="45">
        <v>44930</v>
      </c>
      <c r="P766" s="75" t="s">
        <v>1693</v>
      </c>
      <c r="Q766" s="65" t="s">
        <v>1808</v>
      </c>
    </row>
    <row r="767" ht="39" spans="1:17">
      <c r="B767" s="1">
        <v>766</v>
      </c>
      <c r="C767" s="24" t="s">
        <v>1809</v>
      </c>
      <c r="D767" s="24" t="s">
        <v>546</v>
      </c>
      <c r="E767" s="33"/>
      <c r="F767" s="24" t="s">
        <v>1810</v>
      </c>
      <c r="G767" s="24" t="s">
        <v>1811</v>
      </c>
      <c r="H767" s="1"/>
      <c r="I767" s="1"/>
      <c r="J767" s="29">
        <v>44835</v>
      </c>
      <c r="K767" s="1">
        <v>210.88</v>
      </c>
      <c r="L767" s="27"/>
      <c r="M767" s="27"/>
      <c r="N767" s="1">
        <v>1</v>
      </c>
      <c r="O767" s="45">
        <v>44930</v>
      </c>
      <c r="P767" s="75" t="s">
        <v>1693</v>
      </c>
      <c r="Q767" s="65" t="s">
        <v>1739</v>
      </c>
    </row>
    <row r="768" ht="39" spans="1:17">
      <c r="B768" s="1">
        <v>767</v>
      </c>
      <c r="C768" s="24" t="s">
        <v>1812</v>
      </c>
      <c r="D768" s="24" t="s">
        <v>546</v>
      </c>
      <c r="E768" s="33"/>
      <c r="F768" s="24" t="s">
        <v>1813</v>
      </c>
      <c r="G768" s="24" t="s">
        <v>1814</v>
      </c>
      <c r="H768" s="1"/>
      <c r="I768" s="1"/>
      <c r="J768" s="29">
        <v>44713</v>
      </c>
      <c r="K768" s="1">
        <v>15.04</v>
      </c>
      <c r="L768" s="27"/>
      <c r="M768" s="27"/>
      <c r="N768" s="1">
        <v>1</v>
      </c>
      <c r="O768" s="45">
        <v>44930</v>
      </c>
      <c r="P768" s="75" t="s">
        <v>1693</v>
      </c>
      <c r="Q768" s="65" t="s">
        <v>1739</v>
      </c>
    </row>
    <row r="769" ht="39" spans="2:17">
      <c r="B769" s="1">
        <v>768</v>
      </c>
      <c r="C769" s="24" t="s">
        <v>1815</v>
      </c>
      <c r="D769" s="24" t="s">
        <v>546</v>
      </c>
      <c r="E769" s="33"/>
      <c r="F769" s="24" t="s">
        <v>1816</v>
      </c>
      <c r="G769" s="24" t="s">
        <v>1817</v>
      </c>
      <c r="H769" s="1"/>
      <c r="I769" s="1"/>
      <c r="J769" s="29">
        <v>44531</v>
      </c>
      <c r="K769" s="1">
        <v>195.2</v>
      </c>
      <c r="L769" s="27"/>
      <c r="M769" s="27"/>
      <c r="N769" s="1">
        <v>1</v>
      </c>
      <c r="O769" s="45">
        <v>44930</v>
      </c>
      <c r="P769" s="75" t="s">
        <v>1693</v>
      </c>
      <c r="Q769" s="65" t="s">
        <v>1739</v>
      </c>
    </row>
    <row r="770" ht="26" spans="2:17">
      <c r="B770" s="1">
        <v>769</v>
      </c>
      <c r="C770" s="24" t="s">
        <v>1818</v>
      </c>
      <c r="D770" s="24" t="s">
        <v>338</v>
      </c>
      <c r="E770" s="33"/>
      <c r="F770" s="24" t="s">
        <v>1097</v>
      </c>
      <c r="G770" s="24" t="s">
        <v>1819</v>
      </c>
      <c r="H770" s="1" t="s">
        <v>708</v>
      </c>
      <c r="I770" s="1" t="s">
        <v>1820</v>
      </c>
      <c r="J770" s="29">
        <v>44263</v>
      </c>
      <c r="K770" s="1">
        <v>220</v>
      </c>
      <c r="L770" s="27"/>
      <c r="M770" s="27"/>
      <c r="N770" s="1">
        <v>2</v>
      </c>
      <c r="O770" s="45">
        <v>44937</v>
      </c>
      <c r="P770" s="1" t="s">
        <v>1616</v>
      </c>
      <c r="Q770" s="65" t="s">
        <v>1821</v>
      </c>
    </row>
    <row r="771" ht="67.8" customHeight="1" spans="2:17">
      <c r="B771" s="1">
        <v>770</v>
      </c>
      <c r="C771" s="24" t="s">
        <v>1822</v>
      </c>
      <c r="D771" s="24" t="s">
        <v>1029</v>
      </c>
      <c r="E771" s="33"/>
      <c r="F771" s="24" t="s">
        <v>1823</v>
      </c>
      <c r="G771" s="24" t="s">
        <v>1824</v>
      </c>
      <c r="H771" s="1" t="s">
        <v>1031</v>
      </c>
      <c r="I771" s="1"/>
      <c r="J771" s="29">
        <v>44874</v>
      </c>
      <c r="K771" s="1">
        <v>12</v>
      </c>
      <c r="L771" s="27"/>
      <c r="M771" s="27"/>
      <c r="N771" s="1">
        <v>1</v>
      </c>
      <c r="O771" s="45">
        <v>44940</v>
      </c>
      <c r="P771" s="1" t="s">
        <v>1693</v>
      </c>
      <c r="Q771" s="65" t="s">
        <v>1696</v>
      </c>
    </row>
    <row r="772" ht="26" spans="2:17">
      <c r="B772" s="1">
        <v>771</v>
      </c>
      <c r="C772" s="24" t="s">
        <v>1825</v>
      </c>
      <c r="D772" s="24" t="s">
        <v>1029</v>
      </c>
      <c r="E772" s="25">
        <v>1107500</v>
      </c>
      <c r="F772" s="24" t="s">
        <v>1409</v>
      </c>
      <c r="G772" s="24" t="s">
        <v>1826</v>
      </c>
      <c r="H772" s="1" t="s">
        <v>1031</v>
      </c>
      <c r="I772" s="1"/>
      <c r="J772" s="29">
        <v>44879</v>
      </c>
      <c r="K772" s="1">
        <v>19.5</v>
      </c>
      <c r="L772" s="27"/>
      <c r="M772" s="27"/>
      <c r="N772" s="1">
        <v>2</v>
      </c>
      <c r="O772" s="45">
        <v>44940</v>
      </c>
      <c r="P772" s="1" t="s">
        <v>1693</v>
      </c>
      <c r="Q772" s="65" t="s">
        <v>1696</v>
      </c>
    </row>
    <row r="773" ht="26" spans="2:17">
      <c r="B773" s="1">
        <v>772</v>
      </c>
      <c r="C773" s="24" t="s">
        <v>1827</v>
      </c>
      <c r="D773" s="24" t="s">
        <v>1029</v>
      </c>
      <c r="E773" s="25">
        <v>1270055</v>
      </c>
      <c r="F773" s="24" t="s">
        <v>1409</v>
      </c>
      <c r="G773" s="24" t="s">
        <v>1828</v>
      </c>
      <c r="H773" s="1" t="s">
        <v>1031</v>
      </c>
      <c r="I773" s="1"/>
      <c r="J773" s="29">
        <v>44879</v>
      </c>
      <c r="K773" s="1">
        <v>25</v>
      </c>
      <c r="L773" s="27"/>
      <c r="M773" s="27"/>
      <c r="N773" s="1">
        <v>2</v>
      </c>
      <c r="O773" s="45">
        <v>44940</v>
      </c>
      <c r="P773" s="1" t="s">
        <v>1693</v>
      </c>
      <c r="Q773" s="65" t="s">
        <v>1696</v>
      </c>
    </row>
    <row r="774" ht="43.8" customHeight="1" spans="2:17">
      <c r="B774" s="1">
        <v>773</v>
      </c>
      <c r="C774" s="24" t="s">
        <v>1829</v>
      </c>
      <c r="D774" s="24" t="s">
        <v>1029</v>
      </c>
      <c r="E774" s="25">
        <v>3086147</v>
      </c>
      <c r="F774" s="24" t="s">
        <v>1428</v>
      </c>
      <c r="G774" s="24" t="s">
        <v>1830</v>
      </c>
      <c r="H774" s="1" t="s">
        <v>1031</v>
      </c>
      <c r="I774" s="1"/>
      <c r="J774" s="29">
        <v>44896</v>
      </c>
      <c r="K774" s="1">
        <v>9.5</v>
      </c>
      <c r="L774" s="27"/>
      <c r="M774" s="27"/>
      <c r="N774" s="1">
        <v>2</v>
      </c>
      <c r="O774" s="45">
        <v>44940</v>
      </c>
      <c r="P774" s="1" t="s">
        <v>1693</v>
      </c>
      <c r="Q774" s="65" t="s">
        <v>1696</v>
      </c>
    </row>
    <row r="775" ht="43.8" customHeight="1" spans="2:17">
      <c r="B775" s="1">
        <v>774</v>
      </c>
      <c r="C775" s="24" t="s">
        <v>1831</v>
      </c>
      <c r="D775" s="24" t="s">
        <v>1029</v>
      </c>
      <c r="E775" s="25">
        <v>3086147</v>
      </c>
      <c r="F775" s="24" t="s">
        <v>1832</v>
      </c>
      <c r="G775" s="24" t="s">
        <v>1832</v>
      </c>
      <c r="H775" s="1" t="s">
        <v>1067</v>
      </c>
      <c r="I775" s="1"/>
      <c r="J775" s="29">
        <v>44835</v>
      </c>
      <c r="K775" s="1">
        <v>19.5</v>
      </c>
      <c r="L775" s="27"/>
      <c r="M775" s="27"/>
      <c r="N775" s="1">
        <v>3</v>
      </c>
      <c r="O775" s="45">
        <v>44940</v>
      </c>
      <c r="P775" s="1" t="s">
        <v>1644</v>
      </c>
      <c r="Q775" s="65" t="s">
        <v>1696</v>
      </c>
    </row>
    <row r="776" ht="52" spans="2:17">
      <c r="B776" s="1">
        <v>775</v>
      </c>
      <c r="C776" s="24" t="s">
        <v>1833</v>
      </c>
      <c r="D776" s="24" t="s">
        <v>1834</v>
      </c>
      <c r="E776" s="25">
        <v>1785100</v>
      </c>
      <c r="F776" s="24" t="s">
        <v>1835</v>
      </c>
      <c r="G776" s="24" t="s">
        <v>1836</v>
      </c>
      <c r="H776" s="1"/>
      <c r="I776" s="1"/>
      <c r="J776" s="29">
        <v>44849</v>
      </c>
      <c r="K776" s="1">
        <v>266.63</v>
      </c>
      <c r="L776" s="27"/>
      <c r="M776" s="27"/>
      <c r="N776" s="1">
        <v>2</v>
      </c>
      <c r="O776" s="45">
        <v>44940</v>
      </c>
      <c r="P776" s="1" t="s">
        <v>1640</v>
      </c>
      <c r="Q776" s="65" t="s">
        <v>1837</v>
      </c>
    </row>
    <row r="777" ht="26" spans="2:17">
      <c r="B777" s="1">
        <v>776</v>
      </c>
      <c r="C777" s="24" t="s">
        <v>1838</v>
      </c>
      <c r="D777" s="24" t="s">
        <v>1839</v>
      </c>
      <c r="E777" s="25">
        <v>1219.79</v>
      </c>
      <c r="F777" s="24" t="s">
        <v>1662</v>
      </c>
      <c r="G777" s="24" t="s">
        <v>1662</v>
      </c>
      <c r="H777" s="1"/>
      <c r="I777" s="1"/>
      <c r="J777" s="29">
        <v>44775</v>
      </c>
      <c r="K777" s="1"/>
      <c r="L777" s="27"/>
      <c r="M777" s="27"/>
      <c r="N777" s="1">
        <v>2</v>
      </c>
      <c r="O777" s="45">
        <v>44941</v>
      </c>
      <c r="P777" s="1" t="s">
        <v>1664</v>
      </c>
      <c r="Q777" s="65" t="s">
        <v>1840</v>
      </c>
    </row>
    <row r="778" ht="26" spans="2:17">
      <c r="B778" s="1">
        <v>777</v>
      </c>
      <c r="C778" s="24" t="s">
        <v>1841</v>
      </c>
      <c r="D778" s="24" t="s">
        <v>1839</v>
      </c>
      <c r="E778" s="25">
        <v>29.3927</v>
      </c>
      <c r="F778" s="24" t="s">
        <v>1259</v>
      </c>
      <c r="G778" s="24" t="s">
        <v>1842</v>
      </c>
      <c r="H778" s="1"/>
      <c r="I778" s="1"/>
      <c r="J778" s="29">
        <v>44788</v>
      </c>
      <c r="K778" s="1"/>
      <c r="L778" s="27"/>
      <c r="M778" s="27"/>
      <c r="N778" s="1">
        <v>2</v>
      </c>
      <c r="O778" s="45">
        <v>44941</v>
      </c>
      <c r="P778" s="1" t="s">
        <v>1664</v>
      </c>
      <c r="Q778" s="65" t="s">
        <v>1840</v>
      </c>
    </row>
    <row r="779" ht="39" spans="2:17">
      <c r="B779" s="1">
        <v>778</v>
      </c>
      <c r="C779" s="24" t="s">
        <v>1843</v>
      </c>
      <c r="D779" s="24" t="s">
        <v>1844</v>
      </c>
      <c r="E779" s="25">
        <v>418000</v>
      </c>
      <c r="F779" s="24" t="s">
        <v>1845</v>
      </c>
      <c r="G779" s="24" t="s">
        <v>1846</v>
      </c>
      <c r="H779" s="1"/>
      <c r="I779" s="1"/>
      <c r="J779" s="29">
        <v>44732</v>
      </c>
      <c r="K779" s="1"/>
      <c r="L779" s="27"/>
      <c r="M779" s="27"/>
      <c r="N779" s="1">
        <v>2</v>
      </c>
      <c r="O779" s="45">
        <v>44941</v>
      </c>
      <c r="P779" s="1" t="s">
        <v>1664</v>
      </c>
      <c r="Q779" s="65" t="s">
        <v>1847</v>
      </c>
    </row>
    <row r="780" ht="26" spans="2:17">
      <c r="B780" s="1">
        <v>779</v>
      </c>
      <c r="C780" s="24" t="s">
        <v>1848</v>
      </c>
      <c r="D780" s="24" t="s">
        <v>1844</v>
      </c>
      <c r="E780" s="25">
        <v>518400</v>
      </c>
      <c r="F780" s="24" t="s">
        <v>1849</v>
      </c>
      <c r="G780" s="24" t="s">
        <v>1850</v>
      </c>
      <c r="H780" s="1"/>
      <c r="I780" s="1"/>
      <c r="J780" s="29">
        <v>44725</v>
      </c>
      <c r="K780" s="1"/>
      <c r="L780" s="27"/>
      <c r="M780" s="27"/>
      <c r="N780" s="1">
        <v>2</v>
      </c>
      <c r="O780" s="45">
        <v>44941</v>
      </c>
      <c r="P780" s="1" t="s">
        <v>1664</v>
      </c>
      <c r="Q780" s="65" t="s">
        <v>1847</v>
      </c>
    </row>
    <row r="781" ht="26" spans="2:17">
      <c r="B781" s="1">
        <v>780</v>
      </c>
      <c r="C781" s="24" t="s">
        <v>1851</v>
      </c>
      <c r="D781" s="24" t="s">
        <v>1844</v>
      </c>
      <c r="E781" s="25">
        <v>62800</v>
      </c>
      <c r="F781" s="24" t="s">
        <v>1849</v>
      </c>
      <c r="G781" s="24" t="s">
        <v>1850</v>
      </c>
      <c r="H781" s="1"/>
      <c r="I781" s="1"/>
      <c r="J781" s="29">
        <v>44747</v>
      </c>
      <c r="K781" s="1"/>
      <c r="L781" s="27"/>
      <c r="M781" s="27"/>
      <c r="N781" s="1">
        <v>2</v>
      </c>
      <c r="O781" s="45">
        <v>44941</v>
      </c>
      <c r="P781" s="1" t="s">
        <v>1664</v>
      </c>
      <c r="Q781" s="65" t="s">
        <v>1847</v>
      </c>
    </row>
    <row r="782" ht="26" spans="2:17">
      <c r="B782" s="1">
        <v>781</v>
      </c>
      <c r="C782" s="24" t="s">
        <v>1852</v>
      </c>
      <c r="D782" s="24" t="s">
        <v>1844</v>
      </c>
      <c r="E782" s="25">
        <v>327200</v>
      </c>
      <c r="F782" s="24" t="s">
        <v>1849</v>
      </c>
      <c r="G782" s="24" t="s">
        <v>1850</v>
      </c>
      <c r="H782" s="1"/>
      <c r="I782" s="1"/>
      <c r="J782" s="29">
        <v>44718</v>
      </c>
      <c r="K782" s="1"/>
      <c r="L782" s="27"/>
      <c r="M782" s="27"/>
      <c r="N782" s="1">
        <v>2</v>
      </c>
      <c r="O782" s="45">
        <v>44941</v>
      </c>
      <c r="P782" s="1" t="s">
        <v>1664</v>
      </c>
      <c r="Q782" s="65" t="s">
        <v>1847</v>
      </c>
    </row>
    <row r="783" ht="26" spans="2:17">
      <c r="B783" s="1">
        <v>782</v>
      </c>
      <c r="C783" s="24" t="s">
        <v>1853</v>
      </c>
      <c r="D783" s="24" t="s">
        <v>1844</v>
      </c>
      <c r="E783" s="25">
        <v>460</v>
      </c>
      <c r="F783" s="24" t="s">
        <v>1849</v>
      </c>
      <c r="G783" s="24" t="s">
        <v>1850</v>
      </c>
      <c r="H783" s="1"/>
      <c r="I783" s="1"/>
      <c r="J783" s="29">
        <v>44846</v>
      </c>
      <c r="K783" s="1"/>
      <c r="L783" s="27"/>
      <c r="M783" s="27"/>
      <c r="N783" s="1">
        <v>2</v>
      </c>
      <c r="O783" s="45">
        <v>44941</v>
      </c>
      <c r="P783" s="1" t="s">
        <v>1664</v>
      </c>
      <c r="Q783" s="65" t="s">
        <v>1847</v>
      </c>
    </row>
    <row r="784" ht="26" spans="2:17">
      <c r="B784" s="1">
        <v>783</v>
      </c>
      <c r="C784" s="24" t="s">
        <v>1854</v>
      </c>
      <c r="D784" s="24" t="s">
        <v>1855</v>
      </c>
      <c r="E784" s="25">
        <v>28179.18</v>
      </c>
      <c r="F784" s="24" t="s">
        <v>1856</v>
      </c>
      <c r="G784" s="24" t="s">
        <v>1857</v>
      </c>
      <c r="H784" s="1"/>
      <c r="I784" s="1"/>
      <c r="J784" s="29">
        <v>44658</v>
      </c>
      <c r="K784" s="1"/>
      <c r="L784" s="27"/>
      <c r="M784" s="27"/>
      <c r="N784" s="1">
        <v>2</v>
      </c>
      <c r="O784" s="45">
        <v>44941</v>
      </c>
      <c r="P784" s="1" t="s">
        <v>1664</v>
      </c>
      <c r="Q784" s="65" t="s">
        <v>1858</v>
      </c>
    </row>
    <row r="785" ht="52" spans="2:17">
      <c r="B785" s="1">
        <v>784</v>
      </c>
      <c r="C785" s="24" t="s">
        <v>1859</v>
      </c>
      <c r="D785" s="24" t="s">
        <v>1855</v>
      </c>
      <c r="E785" s="33"/>
      <c r="F785" s="24" t="s">
        <v>1860</v>
      </c>
      <c r="G785" s="24" t="s">
        <v>1861</v>
      </c>
      <c r="H785" s="1" t="s">
        <v>1297</v>
      </c>
      <c r="I785" s="1"/>
      <c r="J785" s="29">
        <v>44651</v>
      </c>
      <c r="K785" s="1"/>
      <c r="L785" s="27"/>
      <c r="M785" s="27"/>
      <c r="N785" s="1">
        <v>2</v>
      </c>
      <c r="O785" s="45">
        <v>44941</v>
      </c>
      <c r="P785" s="1" t="s">
        <v>1664</v>
      </c>
      <c r="Q785" s="65" t="s">
        <v>1858</v>
      </c>
    </row>
    <row r="786" ht="26" spans="2:17">
      <c r="B786" s="1">
        <v>785</v>
      </c>
      <c r="C786" s="24" t="s">
        <v>1862</v>
      </c>
      <c r="D786" s="24" t="s">
        <v>1863</v>
      </c>
      <c r="E786" s="25">
        <v>1400</v>
      </c>
      <c r="F786" s="24" t="s">
        <v>1864</v>
      </c>
      <c r="G786" s="24" t="s">
        <v>1865</v>
      </c>
      <c r="H786" s="1"/>
      <c r="I786" s="1"/>
      <c r="J786" s="29">
        <v>44409</v>
      </c>
      <c r="K786" s="1"/>
      <c r="L786" s="27"/>
      <c r="M786" s="27"/>
      <c r="N786" s="1">
        <v>2</v>
      </c>
      <c r="O786" s="45">
        <v>44941</v>
      </c>
      <c r="P786" s="1" t="s">
        <v>1664</v>
      </c>
      <c r="Q786" s="65" t="s">
        <v>1858</v>
      </c>
    </row>
    <row r="787" ht="65" spans="2:17">
      <c r="B787" s="23">
        <v>786</v>
      </c>
      <c r="C787" s="24" t="s">
        <v>1866</v>
      </c>
      <c r="D787" s="24" t="s">
        <v>1867</v>
      </c>
      <c r="E787" s="33"/>
      <c r="F787" s="24" t="s">
        <v>1802</v>
      </c>
      <c r="G787" s="24" t="s">
        <v>1868</v>
      </c>
      <c r="H787" s="1"/>
      <c r="I787" s="1"/>
      <c r="J787" s="29">
        <v>44931</v>
      </c>
      <c r="K787" s="1">
        <v>41.7392</v>
      </c>
      <c r="L787" s="27"/>
      <c r="M787" s="27"/>
      <c r="N787" s="1">
        <v>1</v>
      </c>
      <c r="O787" s="45">
        <v>44943</v>
      </c>
      <c r="P787" s="75" t="s">
        <v>1693</v>
      </c>
      <c r="Q787" s="65" t="s">
        <v>1869</v>
      </c>
    </row>
    <row r="788" ht="65" spans="2:17">
      <c r="B788" s="23">
        <v>787</v>
      </c>
      <c r="C788" s="24" t="s">
        <v>1870</v>
      </c>
      <c r="D788" s="24" t="s">
        <v>1871</v>
      </c>
      <c r="E788" s="33"/>
      <c r="F788" s="24" t="s">
        <v>1802</v>
      </c>
      <c r="G788" s="24" t="s">
        <v>1868</v>
      </c>
      <c r="H788" s="1"/>
      <c r="I788" s="1"/>
      <c r="J788" s="29">
        <v>44931</v>
      </c>
      <c r="K788" s="1">
        <v>110.2608</v>
      </c>
      <c r="L788" s="27"/>
      <c r="M788" s="27"/>
      <c r="N788" s="1">
        <v>1</v>
      </c>
      <c r="O788" s="45">
        <v>44943</v>
      </c>
      <c r="P788" s="75" t="s">
        <v>1693</v>
      </c>
      <c r="Q788" s="65" t="s">
        <v>1872</v>
      </c>
    </row>
    <row r="789" ht="51.6" customHeight="1" spans="2:17">
      <c r="B789" s="23">
        <v>788</v>
      </c>
      <c r="C789" s="24" t="s">
        <v>1873</v>
      </c>
      <c r="D789" s="24" t="s">
        <v>1500</v>
      </c>
      <c r="E789" s="33"/>
      <c r="F789" s="24" t="s">
        <v>1874</v>
      </c>
      <c r="G789" s="24" t="s">
        <v>1874</v>
      </c>
      <c r="H789" s="1" t="s">
        <v>708</v>
      </c>
      <c r="I789" s="1"/>
      <c r="J789" s="29">
        <v>44713</v>
      </c>
      <c r="K789" s="1">
        <v>18.8</v>
      </c>
      <c r="L789" s="27"/>
      <c r="M789" s="27"/>
      <c r="N789" s="1">
        <v>3</v>
      </c>
      <c r="O789" s="45">
        <v>44943</v>
      </c>
      <c r="P789" s="75" t="s">
        <v>1693</v>
      </c>
      <c r="Q789" s="65" t="s">
        <v>1796</v>
      </c>
    </row>
    <row r="790" ht="52" spans="2:17">
      <c r="B790" s="23">
        <v>789</v>
      </c>
      <c r="C790" s="24" t="s">
        <v>1875</v>
      </c>
      <c r="D790" s="24" t="s">
        <v>1876</v>
      </c>
      <c r="E790" s="33"/>
      <c r="F790" s="24" t="s">
        <v>1802</v>
      </c>
      <c r="G790" s="24" t="s">
        <v>1877</v>
      </c>
      <c r="H790" s="1"/>
      <c r="I790" s="1"/>
      <c r="J790" s="29">
        <v>44921</v>
      </c>
      <c r="K790" s="1">
        <v>18.8</v>
      </c>
      <c r="L790" s="27"/>
      <c r="M790" s="27"/>
      <c r="N790" s="1">
        <v>3</v>
      </c>
      <c r="O790" s="45">
        <v>44943</v>
      </c>
      <c r="P790" s="75" t="s">
        <v>1693</v>
      </c>
      <c r="Q790" s="65" t="s">
        <v>1878</v>
      </c>
    </row>
    <row r="791" ht="52" spans="2:17">
      <c r="B791" s="23">
        <v>790</v>
      </c>
      <c r="C791" s="24" t="s">
        <v>1879</v>
      </c>
      <c r="D791" s="24" t="s">
        <v>1876</v>
      </c>
      <c r="E791" s="33"/>
      <c r="F791" s="24" t="s">
        <v>1802</v>
      </c>
      <c r="G791" s="24" t="s">
        <v>1868</v>
      </c>
      <c r="H791" s="1"/>
      <c r="I791" s="1"/>
      <c r="J791" s="29">
        <v>44921</v>
      </c>
      <c r="K791" s="1">
        <v>334</v>
      </c>
      <c r="L791" s="27"/>
      <c r="M791" s="27"/>
      <c r="N791" s="1">
        <v>3</v>
      </c>
      <c r="O791" s="45">
        <v>44943</v>
      </c>
      <c r="P791" s="75" t="s">
        <v>1693</v>
      </c>
      <c r="Q791" s="65" t="s">
        <v>1878</v>
      </c>
    </row>
    <row r="792" ht="52" spans="2:17">
      <c r="B792" s="23">
        <v>791</v>
      </c>
      <c r="C792" s="24" t="s">
        <v>1880</v>
      </c>
      <c r="D792" s="24" t="s">
        <v>1881</v>
      </c>
      <c r="E792" s="33"/>
      <c r="F792" s="24" t="s">
        <v>1802</v>
      </c>
      <c r="G792" s="24" t="s">
        <v>1868</v>
      </c>
      <c r="H792" s="1"/>
      <c r="I792" s="1"/>
      <c r="J792" s="29">
        <v>44922</v>
      </c>
      <c r="K792" s="1">
        <v>388.59</v>
      </c>
      <c r="L792" s="27"/>
      <c r="M792" s="27"/>
      <c r="N792" s="1">
        <v>3</v>
      </c>
      <c r="O792" s="45">
        <v>44963</v>
      </c>
      <c r="P792" s="75" t="s">
        <v>1693</v>
      </c>
      <c r="Q792" s="65" t="s">
        <v>1882</v>
      </c>
    </row>
    <row r="793" ht="39" spans="2:17">
      <c r="B793" s="23">
        <v>792</v>
      </c>
      <c r="C793" s="24" t="s">
        <v>1883</v>
      </c>
      <c r="D793" s="24" t="s">
        <v>1500</v>
      </c>
      <c r="E793" s="25">
        <v>1222450</v>
      </c>
      <c r="F793" s="24" t="s">
        <v>1884</v>
      </c>
      <c r="G793" s="24" t="s">
        <v>1885</v>
      </c>
      <c r="H793" s="1" t="s">
        <v>708</v>
      </c>
      <c r="I793" s="1" t="s">
        <v>1886</v>
      </c>
      <c r="J793" s="29">
        <v>44872</v>
      </c>
      <c r="K793" s="1">
        <v>228.97</v>
      </c>
      <c r="L793" s="27"/>
      <c r="M793" s="27"/>
      <c r="N793" s="1">
        <v>3</v>
      </c>
      <c r="O793" s="45">
        <v>44963</v>
      </c>
      <c r="P793" s="75" t="s">
        <v>1693</v>
      </c>
      <c r="Q793" s="65" t="s">
        <v>1796</v>
      </c>
    </row>
    <row r="794" ht="39" spans="2:17">
      <c r="B794" s="23">
        <v>793</v>
      </c>
      <c r="C794" s="24" t="s">
        <v>1887</v>
      </c>
      <c r="D794" s="24" t="s">
        <v>1500</v>
      </c>
      <c r="E794" s="25">
        <v>1230400</v>
      </c>
      <c r="F794" s="24" t="s">
        <v>1888</v>
      </c>
      <c r="G794" s="24" t="s">
        <v>1889</v>
      </c>
      <c r="H794" s="1" t="s">
        <v>708</v>
      </c>
      <c r="I794" s="1" t="s">
        <v>1886</v>
      </c>
      <c r="J794" s="29">
        <v>44872</v>
      </c>
      <c r="K794" s="1">
        <v>320.52</v>
      </c>
      <c r="L794" s="27"/>
      <c r="M794" s="27"/>
      <c r="N794" s="1">
        <v>3</v>
      </c>
      <c r="O794" s="45">
        <v>44963</v>
      </c>
      <c r="P794" s="75" t="s">
        <v>1693</v>
      </c>
      <c r="Q794" s="65" t="s">
        <v>1796</v>
      </c>
    </row>
    <row r="795" ht="52" spans="2:17">
      <c r="B795" s="23">
        <v>794</v>
      </c>
      <c r="C795" s="24" t="s">
        <v>1890</v>
      </c>
      <c r="D795" s="24" t="s">
        <v>1124</v>
      </c>
      <c r="E795" s="25">
        <v>613143</v>
      </c>
      <c r="F795" s="24" t="s">
        <v>1891</v>
      </c>
      <c r="G795" s="24" t="s">
        <v>1892</v>
      </c>
      <c r="H795" s="1"/>
      <c r="I795" s="1"/>
      <c r="J795" s="29">
        <v>44942</v>
      </c>
      <c r="K795" s="1"/>
      <c r="L795" s="27"/>
      <c r="M795" s="27"/>
      <c r="N795" s="1">
        <v>3</v>
      </c>
      <c r="O795" s="45">
        <v>44963</v>
      </c>
      <c r="P795" s="75" t="s">
        <v>1693</v>
      </c>
      <c r="Q795" s="65" t="s">
        <v>1785</v>
      </c>
    </row>
    <row r="796" ht="41.4" customHeight="1" spans="2:17">
      <c r="B796" s="23">
        <v>795</v>
      </c>
      <c r="C796" s="24" t="s">
        <v>1893</v>
      </c>
      <c r="D796" s="24" t="s">
        <v>1894</v>
      </c>
      <c r="E796" s="33"/>
      <c r="F796" s="24" t="s">
        <v>1802</v>
      </c>
      <c r="G796" s="24" t="s">
        <v>1895</v>
      </c>
      <c r="H796" s="1"/>
      <c r="I796" s="1"/>
      <c r="J796" s="29">
        <v>44936</v>
      </c>
      <c r="K796" s="1">
        <v>19.8</v>
      </c>
      <c r="L796" s="27"/>
      <c r="M796" s="27"/>
      <c r="N796" s="1">
        <v>4</v>
      </c>
      <c r="O796" s="45">
        <v>44963</v>
      </c>
      <c r="P796" s="1" t="s">
        <v>1896</v>
      </c>
      <c r="Q796" s="65" t="s">
        <v>1897</v>
      </c>
    </row>
    <row r="797" ht="39" customHeight="1" spans="2:17">
      <c r="B797" s="23">
        <v>796</v>
      </c>
      <c r="C797" s="24" t="s">
        <v>1898</v>
      </c>
      <c r="D797" s="24" t="s">
        <v>1894</v>
      </c>
      <c r="E797" s="33"/>
      <c r="F797" s="24" t="s">
        <v>1802</v>
      </c>
      <c r="G797" s="24" t="s">
        <v>1895</v>
      </c>
      <c r="H797" s="1"/>
      <c r="I797" s="1"/>
      <c r="J797" s="29">
        <v>44936</v>
      </c>
      <c r="K797" s="1">
        <v>19.8</v>
      </c>
      <c r="L797" s="27"/>
      <c r="M797" s="27"/>
      <c r="N797" s="1">
        <v>4</v>
      </c>
      <c r="O797" s="45">
        <v>44963</v>
      </c>
      <c r="P797" s="1" t="s">
        <v>1896</v>
      </c>
      <c r="Q797" s="65" t="s">
        <v>1897</v>
      </c>
    </row>
    <row r="798" ht="26" spans="2:17">
      <c r="B798" s="23">
        <v>797</v>
      </c>
      <c r="C798" s="24" t="s">
        <v>1899</v>
      </c>
      <c r="D798" s="24" t="s">
        <v>1900</v>
      </c>
      <c r="E798" s="25"/>
      <c r="F798" s="24" t="s">
        <v>1901</v>
      </c>
      <c r="G798" s="24" t="s">
        <v>1902</v>
      </c>
      <c r="H798" s="1" t="s">
        <v>721</v>
      </c>
      <c r="I798" s="1" t="s">
        <v>1903</v>
      </c>
      <c r="J798" s="29">
        <v>44838</v>
      </c>
      <c r="K798" s="1">
        <v>20</v>
      </c>
      <c r="L798" s="27"/>
      <c r="M798" s="27"/>
      <c r="N798" s="1">
        <v>3</v>
      </c>
      <c r="O798" s="45">
        <v>44963</v>
      </c>
      <c r="P798" s="1" t="s">
        <v>1651</v>
      </c>
      <c r="Q798" s="65" t="s">
        <v>1904</v>
      </c>
    </row>
    <row r="799" ht="26" spans="2:17">
      <c r="B799" s="23">
        <v>798</v>
      </c>
      <c r="C799" s="24" t="s">
        <v>1905</v>
      </c>
      <c r="D799" s="24" t="s">
        <v>1321</v>
      </c>
      <c r="E799" s="25">
        <v>4101.8964</v>
      </c>
      <c r="F799" s="24" t="s">
        <v>1662</v>
      </c>
      <c r="G799" s="24" t="s">
        <v>1906</v>
      </c>
      <c r="H799" s="1" t="s">
        <v>708</v>
      </c>
      <c r="I799" s="1"/>
      <c r="J799" s="29">
        <v>44854</v>
      </c>
      <c r="K799" s="1">
        <v>13.72</v>
      </c>
      <c r="L799" s="27"/>
      <c r="M799" s="27"/>
      <c r="N799" s="1">
        <v>3</v>
      </c>
      <c r="O799" s="45">
        <v>44963</v>
      </c>
      <c r="P799" s="1" t="s">
        <v>1651</v>
      </c>
      <c r="Q799" s="65"/>
    </row>
    <row r="800" ht="26" spans="2:17">
      <c r="B800" s="23">
        <v>799</v>
      </c>
      <c r="C800" s="24" t="s">
        <v>1907</v>
      </c>
      <c r="D800" s="24" t="s">
        <v>1500</v>
      </c>
      <c r="E800" s="25">
        <v>3240000</v>
      </c>
      <c r="F800" s="24" t="s">
        <v>1157</v>
      </c>
      <c r="G800" s="24" t="s">
        <v>1088</v>
      </c>
      <c r="H800" s="1" t="s">
        <v>721</v>
      </c>
      <c r="I800" s="1" t="s">
        <v>1903</v>
      </c>
      <c r="J800" s="29">
        <v>44866</v>
      </c>
      <c r="K800" s="1">
        <v>28.9</v>
      </c>
      <c r="L800" s="27"/>
      <c r="M800" s="27"/>
      <c r="N800" s="1">
        <v>3</v>
      </c>
      <c r="O800" s="45">
        <v>44963</v>
      </c>
      <c r="P800" s="1" t="s">
        <v>1651</v>
      </c>
      <c r="Q800" s="65" t="s">
        <v>1796</v>
      </c>
    </row>
    <row r="801" ht="26" spans="2:17">
      <c r="B801" s="23">
        <v>800</v>
      </c>
      <c r="C801" s="24" t="s">
        <v>1908</v>
      </c>
      <c r="D801" s="24" t="s">
        <v>1500</v>
      </c>
      <c r="E801" s="25">
        <v>2144000</v>
      </c>
      <c r="F801" s="24" t="s">
        <v>1909</v>
      </c>
      <c r="G801" s="24" t="s">
        <v>1910</v>
      </c>
      <c r="H801" s="1" t="s">
        <v>721</v>
      </c>
      <c r="I801" s="1" t="s">
        <v>1903</v>
      </c>
      <c r="J801" s="29">
        <v>44866</v>
      </c>
      <c r="K801" s="1">
        <v>28.88</v>
      </c>
      <c r="L801" s="27"/>
      <c r="M801" s="27"/>
      <c r="N801" s="1">
        <v>3</v>
      </c>
      <c r="O801" s="45">
        <v>44963</v>
      </c>
      <c r="P801" s="1" t="s">
        <v>1651</v>
      </c>
      <c r="Q801" s="65" t="s">
        <v>1796</v>
      </c>
    </row>
    <row r="802" ht="26" spans="2:17">
      <c r="B802" s="23">
        <v>801</v>
      </c>
      <c r="C802" s="24" t="s">
        <v>1911</v>
      </c>
      <c r="D802" s="24" t="s">
        <v>991</v>
      </c>
      <c r="E802" s="25">
        <v>13900</v>
      </c>
      <c r="F802" s="24" t="s">
        <v>1912</v>
      </c>
      <c r="G802" s="24" t="s">
        <v>1912</v>
      </c>
      <c r="H802" s="1" t="s">
        <v>914</v>
      </c>
      <c r="I802" s="1"/>
      <c r="J802" s="29">
        <v>44887</v>
      </c>
      <c r="K802" s="1"/>
      <c r="L802" s="27"/>
      <c r="M802" s="27"/>
      <c r="N802" s="1">
        <v>3</v>
      </c>
      <c r="O802" s="45">
        <v>44963</v>
      </c>
      <c r="P802" s="1" t="s">
        <v>1651</v>
      </c>
      <c r="Q802" s="65"/>
    </row>
    <row r="803" ht="26" spans="2:17">
      <c r="B803" s="23">
        <v>802</v>
      </c>
      <c r="C803" s="24" t="s">
        <v>1913</v>
      </c>
      <c r="D803" s="24" t="s">
        <v>1346</v>
      </c>
      <c r="E803" s="25">
        <v>84</v>
      </c>
      <c r="F803" s="24" t="s">
        <v>931</v>
      </c>
      <c r="G803" s="24" t="s">
        <v>1914</v>
      </c>
      <c r="H803" s="1"/>
      <c r="I803" s="1"/>
      <c r="J803" s="29">
        <v>44758</v>
      </c>
      <c r="K803" s="1"/>
      <c r="L803" s="27"/>
      <c r="M803" s="27"/>
      <c r="N803" s="1">
        <v>3</v>
      </c>
      <c r="O803" s="45">
        <v>45027</v>
      </c>
      <c r="P803" s="1" t="s">
        <v>1616</v>
      </c>
      <c r="Q803" s="65" t="s">
        <v>1719</v>
      </c>
    </row>
    <row r="804" ht="26" spans="2:17">
      <c r="B804" s="23">
        <v>803</v>
      </c>
      <c r="C804" s="24" t="s">
        <v>1915</v>
      </c>
      <c r="D804" s="24" t="s">
        <v>1916</v>
      </c>
      <c r="E804" s="33"/>
      <c r="F804" s="24" t="s">
        <v>1917</v>
      </c>
      <c r="G804" s="24" t="s">
        <v>1918</v>
      </c>
      <c r="H804" s="1" t="s">
        <v>1001</v>
      </c>
      <c r="I804" s="1" t="s">
        <v>857</v>
      </c>
      <c r="J804" s="29">
        <v>44942</v>
      </c>
      <c r="K804" s="1">
        <v>183</v>
      </c>
      <c r="L804" s="27"/>
      <c r="M804" s="27"/>
      <c r="N804" s="1">
        <v>3</v>
      </c>
      <c r="O804" s="45">
        <v>45027</v>
      </c>
      <c r="P804" s="1" t="s">
        <v>1616</v>
      </c>
      <c r="Q804" s="65" t="s">
        <v>1919</v>
      </c>
    </row>
    <row r="805" ht="26" spans="2:17">
      <c r="B805" s="23">
        <v>804</v>
      </c>
      <c r="C805" s="24" t="s">
        <v>1920</v>
      </c>
      <c r="D805" s="24" t="s">
        <v>1500</v>
      </c>
      <c r="E805" s="25">
        <v>258700</v>
      </c>
      <c r="F805" s="24" t="s">
        <v>1917</v>
      </c>
      <c r="G805" s="24" t="s">
        <v>1921</v>
      </c>
      <c r="H805" s="1" t="s">
        <v>708</v>
      </c>
      <c r="I805" s="1"/>
      <c r="J805" s="29">
        <v>44866</v>
      </c>
      <c r="K805" s="1">
        <v>99.98</v>
      </c>
      <c r="L805" s="27"/>
      <c r="M805" s="27"/>
      <c r="N805" s="1">
        <v>3</v>
      </c>
      <c r="O805" s="45">
        <v>45027</v>
      </c>
      <c r="P805" s="1" t="s">
        <v>1623</v>
      </c>
      <c r="Q805" s="65" t="s">
        <v>1796</v>
      </c>
    </row>
    <row r="806" ht="52" spans="2:17">
      <c r="B806" s="23">
        <v>805</v>
      </c>
      <c r="C806" s="24" t="s">
        <v>1922</v>
      </c>
      <c r="D806" s="24" t="s">
        <v>1923</v>
      </c>
      <c r="E806" s="33"/>
      <c r="F806" s="24" t="s">
        <v>1802</v>
      </c>
      <c r="G806" s="24" t="s">
        <v>1924</v>
      </c>
      <c r="H806" s="1"/>
      <c r="I806" s="1"/>
      <c r="J806" s="29">
        <v>44866</v>
      </c>
      <c r="K806" s="1">
        <v>99.98</v>
      </c>
      <c r="L806" s="27"/>
      <c r="M806" s="27"/>
      <c r="N806" s="1">
        <v>2</v>
      </c>
      <c r="O806" s="45">
        <v>45027</v>
      </c>
      <c r="P806" s="1" t="s">
        <v>1623</v>
      </c>
      <c r="Q806" s="65" t="s">
        <v>1925</v>
      </c>
    </row>
    <row r="807" ht="26" spans="2:17">
      <c r="B807" s="23">
        <v>806</v>
      </c>
      <c r="C807" s="24" t="s">
        <v>1926</v>
      </c>
      <c r="D807" s="24" t="s">
        <v>1927</v>
      </c>
      <c r="E807" s="33"/>
      <c r="F807" s="24" t="s">
        <v>1928</v>
      </c>
      <c r="G807" s="24" t="s">
        <v>1929</v>
      </c>
      <c r="H807" s="1" t="s">
        <v>708</v>
      </c>
      <c r="I807" s="1" t="s">
        <v>884</v>
      </c>
      <c r="J807" s="29">
        <v>44904</v>
      </c>
      <c r="K807" s="1">
        <v>293.32</v>
      </c>
      <c r="L807" s="27"/>
      <c r="M807" s="27"/>
      <c r="N807" s="1">
        <v>3</v>
      </c>
      <c r="O807" s="45">
        <v>45027</v>
      </c>
      <c r="P807" s="1" t="s">
        <v>1644</v>
      </c>
      <c r="Q807" s="65" t="s">
        <v>1930</v>
      </c>
    </row>
    <row r="808" ht="52" spans="2:17">
      <c r="B808" s="23">
        <v>807</v>
      </c>
      <c r="C808" s="24" t="s">
        <v>1931</v>
      </c>
      <c r="D808" s="24" t="s">
        <v>1932</v>
      </c>
      <c r="E808" s="33"/>
      <c r="F808" s="24" t="s">
        <v>1802</v>
      </c>
      <c r="G808" s="24" t="s">
        <v>1933</v>
      </c>
      <c r="H808" s="1"/>
      <c r="I808" s="1"/>
      <c r="J808" s="29">
        <v>44915</v>
      </c>
      <c r="K808" s="1"/>
      <c r="L808" s="27"/>
      <c r="M808" s="27"/>
      <c r="N808" s="1">
        <v>3</v>
      </c>
      <c r="O808" s="45">
        <v>45027</v>
      </c>
      <c r="P808" s="1" t="s">
        <v>1623</v>
      </c>
      <c r="Q808" s="65" t="s">
        <v>1934</v>
      </c>
    </row>
    <row r="809" ht="26" spans="2:17">
      <c r="B809" s="23">
        <v>808</v>
      </c>
      <c r="C809" s="24" t="s">
        <v>1935</v>
      </c>
      <c r="D809" s="24" t="s">
        <v>1500</v>
      </c>
      <c r="E809" s="25">
        <v>1011500</v>
      </c>
      <c r="F809" s="24" t="s">
        <v>1936</v>
      </c>
      <c r="G809" s="24" t="s">
        <v>1937</v>
      </c>
      <c r="H809" s="1" t="s">
        <v>708</v>
      </c>
      <c r="I809" s="1" t="s">
        <v>1795</v>
      </c>
      <c r="J809" s="29">
        <v>44945</v>
      </c>
      <c r="K809" s="1"/>
      <c r="L809" s="27"/>
      <c r="M809" s="27"/>
      <c r="N809" s="1">
        <v>3</v>
      </c>
      <c r="O809" s="45">
        <v>45027</v>
      </c>
      <c r="P809" s="1" t="s">
        <v>1623</v>
      </c>
      <c r="Q809" s="65" t="s">
        <v>1796</v>
      </c>
    </row>
    <row r="810" ht="26" spans="2:17">
      <c r="B810" s="23">
        <v>809</v>
      </c>
      <c r="C810" s="24" t="s">
        <v>1938</v>
      </c>
      <c r="D810" s="24" t="s">
        <v>1500</v>
      </c>
      <c r="E810" s="25">
        <v>628100</v>
      </c>
      <c r="F810" s="24" t="s">
        <v>1936</v>
      </c>
      <c r="G810" s="24" t="s">
        <v>1937</v>
      </c>
      <c r="H810" s="1" t="s">
        <v>708</v>
      </c>
      <c r="I810" s="1" t="s">
        <v>1795</v>
      </c>
      <c r="J810" s="29">
        <v>44945</v>
      </c>
      <c r="K810" s="1"/>
      <c r="L810" s="27"/>
      <c r="M810" s="27"/>
      <c r="N810" s="1">
        <v>3</v>
      </c>
      <c r="O810" s="45">
        <v>45027</v>
      </c>
      <c r="P810" s="1" t="s">
        <v>1623</v>
      </c>
      <c r="Q810" s="65" t="s">
        <v>1796</v>
      </c>
    </row>
    <row r="811" ht="26" spans="2:17">
      <c r="B811" s="23">
        <v>810</v>
      </c>
      <c r="C811" s="24" t="s">
        <v>1939</v>
      </c>
      <c r="D811" s="24" t="s">
        <v>791</v>
      </c>
      <c r="E811" s="25"/>
      <c r="F811" s="24" t="s">
        <v>1940</v>
      </c>
      <c r="G811" s="24" t="s">
        <v>1941</v>
      </c>
      <c r="H811" s="1" t="s">
        <v>1297</v>
      </c>
      <c r="I811" s="1" t="s">
        <v>1457</v>
      </c>
      <c r="J811" s="29">
        <v>44988</v>
      </c>
      <c r="K811" s="1"/>
      <c r="L811" s="27"/>
      <c r="M811" s="27"/>
      <c r="N811" s="1">
        <v>1</v>
      </c>
      <c r="O811" s="45">
        <v>45027</v>
      </c>
      <c r="P811" s="1" t="s">
        <v>1457</v>
      </c>
      <c r="Q811" s="65" t="s">
        <v>1942</v>
      </c>
    </row>
    <row r="812" ht="26" spans="2:17">
      <c r="B812" s="23">
        <v>811</v>
      </c>
      <c r="C812" s="24" t="s">
        <v>1943</v>
      </c>
      <c r="D812" s="24" t="s">
        <v>791</v>
      </c>
      <c r="E812" s="25">
        <v>116628.15</v>
      </c>
      <c r="F812" s="24" t="s">
        <v>1940</v>
      </c>
      <c r="G812" s="24" t="s">
        <v>1941</v>
      </c>
      <c r="H812" s="1" t="s">
        <v>1297</v>
      </c>
      <c r="I812" s="1" t="s">
        <v>1457</v>
      </c>
      <c r="J812" s="29">
        <v>44988</v>
      </c>
      <c r="K812" s="1"/>
      <c r="L812" s="27"/>
      <c r="M812" s="27"/>
      <c r="N812" s="1">
        <v>1</v>
      </c>
      <c r="O812" s="45">
        <v>45027</v>
      </c>
      <c r="P812" s="1" t="s">
        <v>1457</v>
      </c>
      <c r="Q812" s="65" t="s">
        <v>1942</v>
      </c>
    </row>
    <row r="813" ht="26" spans="2:17">
      <c r="B813" s="23">
        <v>812</v>
      </c>
      <c r="C813" s="24" t="s">
        <v>1944</v>
      </c>
      <c r="D813" s="24" t="s">
        <v>1945</v>
      </c>
      <c r="E813" s="80"/>
      <c r="F813" s="24" t="s">
        <v>693</v>
      </c>
      <c r="G813" s="24" t="s">
        <v>1379</v>
      </c>
      <c r="H813" s="1" t="s">
        <v>884</v>
      </c>
      <c r="I813" s="1"/>
      <c r="J813" s="29">
        <v>44988</v>
      </c>
      <c r="K813" s="1"/>
      <c r="L813" s="27"/>
      <c r="M813" s="27"/>
      <c r="N813" s="1">
        <v>1</v>
      </c>
      <c r="O813" s="45">
        <v>45027</v>
      </c>
      <c r="P813" s="1" t="s">
        <v>1457</v>
      </c>
      <c r="Q813" s="65" t="s">
        <v>1946</v>
      </c>
    </row>
    <row r="814" ht="26" spans="2:17">
      <c r="B814" s="23">
        <v>813</v>
      </c>
      <c r="C814" s="81" t="s">
        <v>1947</v>
      </c>
      <c r="D814" s="81" t="s">
        <v>1948</v>
      </c>
      <c r="E814" s="82"/>
      <c r="F814" s="24" t="s">
        <v>954</v>
      </c>
      <c r="G814" s="24" t="s">
        <v>1654</v>
      </c>
      <c r="H814" s="1"/>
      <c r="I814" s="1"/>
      <c r="J814" s="29">
        <v>44958</v>
      </c>
      <c r="K814" s="1">
        <v>28.5597</v>
      </c>
      <c r="L814" s="27"/>
      <c r="M814" s="27"/>
      <c r="N814" s="1">
        <v>2</v>
      </c>
      <c r="O814" s="45">
        <v>45027</v>
      </c>
      <c r="P814" s="1" t="s">
        <v>1949</v>
      </c>
      <c r="Q814" s="65" t="s">
        <v>1950</v>
      </c>
    </row>
    <row r="815" ht="26" spans="2:17">
      <c r="B815" s="23">
        <v>814</v>
      </c>
      <c r="C815" s="24" t="s">
        <v>1951</v>
      </c>
      <c r="D815" s="24" t="s">
        <v>1029</v>
      </c>
      <c r="E815" s="25">
        <v>499943</v>
      </c>
      <c r="F815" s="24" t="s">
        <v>1832</v>
      </c>
      <c r="G815" s="24" t="s">
        <v>1832</v>
      </c>
      <c r="H815" s="1" t="s">
        <v>1067</v>
      </c>
      <c r="I815" s="1"/>
      <c r="J815" s="29">
        <v>44630</v>
      </c>
      <c r="K815" s="1">
        <v>19.5</v>
      </c>
      <c r="L815" s="27"/>
      <c r="M815" s="27"/>
      <c r="N815" s="1">
        <v>2</v>
      </c>
      <c r="O815" s="45">
        <v>45044</v>
      </c>
      <c r="P815" s="1" t="s">
        <v>1644</v>
      </c>
      <c r="Q815" s="65" t="s">
        <v>1696</v>
      </c>
    </row>
    <row r="816" ht="39" spans="2:17">
      <c r="B816" s="23">
        <v>815</v>
      </c>
      <c r="C816" s="24" t="s">
        <v>1952</v>
      </c>
      <c r="D816" s="24" t="s">
        <v>842</v>
      </c>
      <c r="E816" s="33">
        <v>1040000</v>
      </c>
      <c r="F816" s="24" t="s">
        <v>1953</v>
      </c>
      <c r="G816" s="24" t="s">
        <v>1954</v>
      </c>
      <c r="H816" s="1" t="s">
        <v>1001</v>
      </c>
      <c r="I816" s="1" t="s">
        <v>1820</v>
      </c>
      <c r="J816" s="29">
        <v>44797</v>
      </c>
      <c r="K816" s="1"/>
      <c r="L816" s="27"/>
      <c r="M816" s="27"/>
      <c r="N816" s="1">
        <v>3</v>
      </c>
      <c r="O816" s="45">
        <v>45044</v>
      </c>
      <c r="P816" s="1" t="s">
        <v>1616</v>
      </c>
      <c r="Q816" s="65" t="s">
        <v>1955</v>
      </c>
    </row>
    <row r="817" ht="39" spans="2:17">
      <c r="B817" s="23">
        <v>816</v>
      </c>
      <c r="C817" s="24" t="s">
        <v>1956</v>
      </c>
      <c r="D817" s="24" t="s">
        <v>643</v>
      </c>
      <c r="E817" s="33"/>
      <c r="F817" s="24" t="s">
        <v>377</v>
      </c>
      <c r="G817" s="24" t="s">
        <v>883</v>
      </c>
      <c r="H817" s="1" t="s">
        <v>884</v>
      </c>
      <c r="I817" s="1" t="s">
        <v>813</v>
      </c>
      <c r="J817" s="29">
        <v>44342</v>
      </c>
      <c r="K817" s="1"/>
      <c r="L817" s="27"/>
      <c r="M817" s="27"/>
      <c r="N817" s="1">
        <v>2</v>
      </c>
      <c r="O817" s="45">
        <v>45065</v>
      </c>
      <c r="P817" s="1" t="s">
        <v>1957</v>
      </c>
      <c r="Q817" s="65" t="s">
        <v>1958</v>
      </c>
    </row>
    <row r="818" ht="39" spans="2:17">
      <c r="B818" s="23">
        <v>817</v>
      </c>
      <c r="C818" s="24" t="s">
        <v>1959</v>
      </c>
      <c r="D818" s="24" t="s">
        <v>1960</v>
      </c>
      <c r="E818" s="33"/>
      <c r="F818" s="24" t="s">
        <v>377</v>
      </c>
      <c r="G818" s="24" t="s">
        <v>883</v>
      </c>
      <c r="H818" s="1"/>
      <c r="I818" s="1"/>
      <c r="J818" s="29">
        <v>44896</v>
      </c>
      <c r="K818" s="1">
        <v>46.4857</v>
      </c>
      <c r="L818" s="27"/>
      <c r="M818" s="27"/>
      <c r="N818" s="1">
        <v>2</v>
      </c>
      <c r="O818" s="45">
        <v>45065</v>
      </c>
      <c r="P818" s="1" t="s">
        <v>1957</v>
      </c>
      <c r="Q818" s="65" t="s">
        <v>1958</v>
      </c>
    </row>
    <row r="819" ht="26" spans="2:17">
      <c r="B819" s="23">
        <v>818</v>
      </c>
      <c r="C819" s="24" t="s">
        <v>1961</v>
      </c>
      <c r="D819" s="24" t="s">
        <v>643</v>
      </c>
      <c r="E819" s="33"/>
      <c r="F819" s="24" t="s">
        <v>1962</v>
      </c>
      <c r="G819" s="24" t="s">
        <v>1963</v>
      </c>
      <c r="H819" s="1" t="s">
        <v>1457</v>
      </c>
      <c r="I819" s="1"/>
      <c r="J819" s="29">
        <v>44409</v>
      </c>
      <c r="K819" s="1"/>
      <c r="L819" s="27"/>
      <c r="M819" s="27"/>
      <c r="N819" s="1">
        <v>1</v>
      </c>
      <c r="O819" s="45">
        <v>45069</v>
      </c>
      <c r="P819" s="1" t="s">
        <v>1957</v>
      </c>
      <c r="Q819" s="65" t="s">
        <v>1958</v>
      </c>
    </row>
    <row r="820" ht="26" spans="2:17">
      <c r="B820" s="23">
        <v>819</v>
      </c>
      <c r="C820" s="24" t="s">
        <v>1964</v>
      </c>
      <c r="D820" s="24" t="s">
        <v>1960</v>
      </c>
      <c r="E820" s="33"/>
      <c r="F820" s="24" t="s">
        <v>1965</v>
      </c>
      <c r="G820" s="24" t="s">
        <v>1966</v>
      </c>
      <c r="H820" s="1" t="s">
        <v>1457</v>
      </c>
      <c r="I820" s="1"/>
      <c r="J820" s="29">
        <v>44713</v>
      </c>
      <c r="K820" s="1"/>
      <c r="L820" s="27"/>
      <c r="M820" s="27"/>
      <c r="N820" s="1">
        <v>1</v>
      </c>
      <c r="O820" s="45">
        <v>45069</v>
      </c>
      <c r="P820" s="1" t="s">
        <v>1957</v>
      </c>
      <c r="Q820" s="65" t="s">
        <v>1958</v>
      </c>
    </row>
    <row r="821" ht="26" spans="2:17">
      <c r="B821" s="23">
        <v>820</v>
      </c>
      <c r="C821" s="24" t="s">
        <v>1967</v>
      </c>
      <c r="D821" s="24" t="s">
        <v>1968</v>
      </c>
      <c r="E821" s="25">
        <v>486</v>
      </c>
      <c r="F821" s="24" t="s">
        <v>1969</v>
      </c>
      <c r="G821" s="24" t="s">
        <v>1970</v>
      </c>
      <c r="H821" s="1"/>
      <c r="I821" s="1"/>
      <c r="J821" s="29">
        <v>44823</v>
      </c>
      <c r="K821" s="1"/>
      <c r="L821" s="27"/>
      <c r="M821" s="27"/>
      <c r="N821" s="1">
        <v>1</v>
      </c>
      <c r="O821" s="45">
        <v>45093</v>
      </c>
      <c r="P821" s="1" t="s">
        <v>1957</v>
      </c>
      <c r="Q821" s="65" t="s">
        <v>1971</v>
      </c>
    </row>
    <row r="822" ht="26" spans="2:17">
      <c r="B822" s="23">
        <v>821</v>
      </c>
      <c r="C822" s="24" t="s">
        <v>1972</v>
      </c>
      <c r="D822" s="24" t="s">
        <v>1346</v>
      </c>
      <c r="E822" s="25">
        <v>28</v>
      </c>
      <c r="F822" s="24" t="s">
        <v>1973</v>
      </c>
      <c r="G822" s="24" t="s">
        <v>1974</v>
      </c>
      <c r="H822" s="1"/>
      <c r="I822" s="1"/>
      <c r="J822" s="29">
        <v>44897</v>
      </c>
      <c r="K822" s="1"/>
      <c r="L822" s="27"/>
      <c r="M822" s="27"/>
      <c r="N822" s="1">
        <v>3</v>
      </c>
      <c r="O822" s="61">
        <v>45098</v>
      </c>
      <c r="P822" s="1" t="s">
        <v>1616</v>
      </c>
      <c r="Q822" s="65" t="s">
        <v>1719</v>
      </c>
    </row>
    <row r="823" ht="39" spans="2:17">
      <c r="B823" s="23">
        <v>822</v>
      </c>
      <c r="C823" s="24" t="s">
        <v>1975</v>
      </c>
      <c r="D823" s="24" t="s">
        <v>1346</v>
      </c>
      <c r="E823" s="25">
        <v>388.98</v>
      </c>
      <c r="F823" s="24" t="s">
        <v>1901</v>
      </c>
      <c r="G823" s="24" t="s">
        <v>1976</v>
      </c>
      <c r="H823" s="1"/>
      <c r="I823" s="1"/>
      <c r="J823" s="29">
        <v>45006</v>
      </c>
      <c r="K823" s="1"/>
      <c r="L823" s="27"/>
      <c r="M823" s="27"/>
      <c r="N823" s="1">
        <v>3</v>
      </c>
      <c r="O823" s="61">
        <v>45098</v>
      </c>
      <c r="P823" s="1" t="s">
        <v>1616</v>
      </c>
      <c r="Q823" s="65" t="s">
        <v>1719</v>
      </c>
    </row>
    <row r="824" ht="37.2" customHeight="1" spans="2:17">
      <c r="B824" s="23">
        <v>823</v>
      </c>
      <c r="C824" s="24" t="s">
        <v>1977</v>
      </c>
      <c r="D824" s="24" t="s">
        <v>1978</v>
      </c>
      <c r="E824" s="25">
        <v>1130</v>
      </c>
      <c r="F824" s="24" t="s">
        <v>1662</v>
      </c>
      <c r="G824" s="24" t="s">
        <v>1979</v>
      </c>
      <c r="H824" s="1" t="s">
        <v>1457</v>
      </c>
      <c r="I824" s="1"/>
      <c r="J824" s="29">
        <v>44743</v>
      </c>
      <c r="K824" s="1"/>
      <c r="L824" s="27"/>
      <c r="M824" s="27"/>
      <c r="N824" s="1">
        <v>1</v>
      </c>
      <c r="O824" s="61">
        <v>45102</v>
      </c>
      <c r="P824" s="1" t="s">
        <v>1957</v>
      </c>
      <c r="Q824" s="65" t="s">
        <v>1980</v>
      </c>
    </row>
    <row r="825" ht="26" spans="2:17">
      <c r="B825" s="23">
        <v>824</v>
      </c>
      <c r="C825" s="24" t="s">
        <v>1981</v>
      </c>
      <c r="D825" s="24" t="s">
        <v>1978</v>
      </c>
      <c r="E825" s="25">
        <v>266</v>
      </c>
      <c r="F825" s="24" t="s">
        <v>1662</v>
      </c>
      <c r="G825" s="24" t="s">
        <v>1982</v>
      </c>
      <c r="H825" s="1" t="s">
        <v>1457</v>
      </c>
      <c r="I825" s="1"/>
      <c r="J825" s="29">
        <v>44743</v>
      </c>
      <c r="K825" s="1"/>
      <c r="L825" s="27"/>
      <c r="M825" s="27"/>
      <c r="N825" s="1">
        <v>1</v>
      </c>
      <c r="O825" s="61">
        <v>45102</v>
      </c>
      <c r="P825" s="1" t="s">
        <v>1957</v>
      </c>
      <c r="Q825" s="65" t="s">
        <v>1980</v>
      </c>
    </row>
    <row r="826" ht="26" spans="2:17">
      <c r="B826" s="23">
        <v>825</v>
      </c>
      <c r="C826" s="24" t="s">
        <v>543</v>
      </c>
      <c r="D826" s="24" t="s">
        <v>544</v>
      </c>
      <c r="E826" s="33"/>
      <c r="F826" s="24" t="s">
        <v>1983</v>
      </c>
      <c r="G826" s="24" t="s">
        <v>1984</v>
      </c>
      <c r="H826" s="1" t="s">
        <v>1985</v>
      </c>
      <c r="I826" s="1"/>
      <c r="J826" s="29">
        <v>45083</v>
      </c>
      <c r="K826" s="1">
        <v>3.9</v>
      </c>
      <c r="L826" s="27"/>
      <c r="M826" s="27"/>
      <c r="N826" s="1">
        <v>1</v>
      </c>
      <c r="O826" s="61">
        <v>45104</v>
      </c>
      <c r="P826" s="1" t="s">
        <v>1985</v>
      </c>
      <c r="Q826" s="65" t="s">
        <v>1986</v>
      </c>
    </row>
    <row r="827" ht="26" spans="2:17">
      <c r="B827" s="23">
        <v>826</v>
      </c>
      <c r="C827" s="24" t="s">
        <v>1987</v>
      </c>
      <c r="D827" s="24" t="s">
        <v>1863</v>
      </c>
      <c r="E827" s="33">
        <v>330</v>
      </c>
      <c r="F827" s="24" t="s">
        <v>1662</v>
      </c>
      <c r="G827" s="24" t="s">
        <v>1662</v>
      </c>
      <c r="H827" s="1"/>
      <c r="I827" s="1"/>
      <c r="J827" s="29">
        <v>44348</v>
      </c>
      <c r="K827" s="1"/>
      <c r="L827" s="27"/>
      <c r="M827" s="27"/>
      <c r="N827" s="1">
        <v>4</v>
      </c>
      <c r="O827" s="61">
        <v>45121</v>
      </c>
      <c r="P827" s="1" t="s">
        <v>1957</v>
      </c>
      <c r="Q827" s="65" t="s">
        <v>1988</v>
      </c>
    </row>
    <row r="828" ht="26" spans="2:17">
      <c r="B828" s="23">
        <v>827</v>
      </c>
      <c r="C828" s="24" t="s">
        <v>1989</v>
      </c>
      <c r="D828" s="24" t="s">
        <v>643</v>
      </c>
      <c r="E828" s="25"/>
      <c r="F828" s="24" t="s">
        <v>1940</v>
      </c>
      <c r="G828" s="24" t="s">
        <v>883</v>
      </c>
      <c r="H828" s="1" t="s">
        <v>884</v>
      </c>
      <c r="I828" s="1" t="s">
        <v>1457</v>
      </c>
      <c r="J828" s="29">
        <v>43983</v>
      </c>
      <c r="K828" s="1">
        <v>5.050207</v>
      </c>
      <c r="L828" s="27"/>
      <c r="M828" s="27"/>
      <c r="N828" s="1">
        <v>2</v>
      </c>
      <c r="O828" s="61">
        <v>45121</v>
      </c>
      <c r="P828" s="1" t="s">
        <v>1957</v>
      </c>
      <c r="Q828" s="65" t="s">
        <v>1958</v>
      </c>
    </row>
    <row r="829" ht="26" spans="2:17">
      <c r="B829" s="23">
        <v>828</v>
      </c>
      <c r="C829" s="24" t="s">
        <v>1990</v>
      </c>
      <c r="D829" s="24" t="s">
        <v>817</v>
      </c>
      <c r="E829" s="25">
        <v>174800</v>
      </c>
      <c r="F829" s="24" t="s">
        <v>1991</v>
      </c>
      <c r="G829" s="24" t="s">
        <v>1992</v>
      </c>
      <c r="H829" s="1" t="s">
        <v>819</v>
      </c>
      <c r="I829" s="1"/>
      <c r="J829" s="29">
        <v>44105</v>
      </c>
      <c r="K829" s="1"/>
      <c r="L829" s="27"/>
      <c r="M829" s="27"/>
      <c r="N829" s="1">
        <v>2</v>
      </c>
      <c r="O829" s="61">
        <v>45121</v>
      </c>
      <c r="P829" s="1" t="s">
        <v>1957</v>
      </c>
      <c r="Q829" s="65" t="s">
        <v>1993</v>
      </c>
    </row>
    <row r="830" ht="39" spans="2:17">
      <c r="B830" s="23">
        <v>829</v>
      </c>
      <c r="C830" s="24" t="s">
        <v>1994</v>
      </c>
      <c r="D830" s="24" t="s">
        <v>1995</v>
      </c>
      <c r="E830" s="25">
        <v>2010000</v>
      </c>
      <c r="F830" s="24" t="s">
        <v>1832</v>
      </c>
      <c r="G830" s="24" t="s">
        <v>1996</v>
      </c>
      <c r="H830" s="1" t="s">
        <v>1997</v>
      </c>
      <c r="I830" s="1" t="s">
        <v>1301</v>
      </c>
      <c r="J830" s="29">
        <v>45108</v>
      </c>
      <c r="K830" s="1"/>
      <c r="L830" s="27"/>
      <c r="M830" s="27"/>
      <c r="N830" s="1">
        <v>4</v>
      </c>
      <c r="O830" s="61">
        <v>45134</v>
      </c>
      <c r="P830" s="1" t="s">
        <v>1613</v>
      </c>
      <c r="Q830" s="65" t="s">
        <v>1998</v>
      </c>
    </row>
    <row r="831" ht="26" spans="2:17">
      <c r="B831" s="23">
        <v>830</v>
      </c>
      <c r="C831" s="24" t="s">
        <v>1999</v>
      </c>
      <c r="D831" s="24" t="s">
        <v>1668</v>
      </c>
      <c r="E831" s="25">
        <v>679400</v>
      </c>
      <c r="F831" s="24" t="s">
        <v>954</v>
      </c>
      <c r="G831" s="24" t="s">
        <v>2000</v>
      </c>
      <c r="H831" s="1"/>
      <c r="I831" s="1"/>
      <c r="J831" s="29">
        <v>45097</v>
      </c>
      <c r="K831" s="1"/>
      <c r="L831" s="27"/>
      <c r="M831" s="27"/>
      <c r="N831" s="1">
        <v>4</v>
      </c>
      <c r="O831" s="61">
        <v>45138</v>
      </c>
      <c r="P831" s="1" t="s">
        <v>1949</v>
      </c>
      <c r="Q831" s="65" t="s">
        <v>2001</v>
      </c>
    </row>
    <row r="832" ht="26" spans="2:17">
      <c r="B832" s="23">
        <v>831</v>
      </c>
      <c r="C832" s="24" t="s">
        <v>2002</v>
      </c>
      <c r="D832" s="24" t="s">
        <v>2003</v>
      </c>
      <c r="E832" s="33"/>
      <c r="F832" s="24" t="s">
        <v>954</v>
      </c>
      <c r="G832" s="24" t="s">
        <v>2004</v>
      </c>
      <c r="H832" s="1"/>
      <c r="I832" s="1"/>
      <c r="J832" s="29">
        <v>45103</v>
      </c>
      <c r="K832" s="1"/>
      <c r="L832" s="27"/>
      <c r="M832" s="27"/>
      <c r="N832" s="1">
        <v>3</v>
      </c>
      <c r="O832" s="61">
        <v>45138</v>
      </c>
      <c r="P832" s="1" t="s">
        <v>1949</v>
      </c>
      <c r="Q832" s="65" t="s">
        <v>2005</v>
      </c>
    </row>
    <row r="833" ht="26" spans="2:17">
      <c r="B833" s="23">
        <v>832</v>
      </c>
      <c r="C833" s="24" t="s">
        <v>2006</v>
      </c>
      <c r="D833" s="24" t="s">
        <v>1346</v>
      </c>
      <c r="E833" s="25">
        <v>32.4</v>
      </c>
      <c r="F833" s="24" t="s">
        <v>931</v>
      </c>
      <c r="G833" s="24" t="s">
        <v>2007</v>
      </c>
      <c r="H833" s="1"/>
      <c r="I833" s="1"/>
      <c r="J833" s="29">
        <v>45045</v>
      </c>
      <c r="K833" s="1"/>
      <c r="L833" s="27"/>
      <c r="M833" s="27"/>
      <c r="N833" s="1">
        <v>3</v>
      </c>
      <c r="O833" s="61">
        <v>45169</v>
      </c>
      <c r="P833" s="1" t="s">
        <v>1616</v>
      </c>
      <c r="Q833" s="65" t="s">
        <v>1719</v>
      </c>
    </row>
    <row r="834" ht="26" spans="2:17">
      <c r="B834" s="23">
        <v>833</v>
      </c>
      <c r="C834" s="24" t="s">
        <v>2008</v>
      </c>
      <c r="D834" s="24" t="s">
        <v>1500</v>
      </c>
      <c r="E834" s="25">
        <v>800000</v>
      </c>
      <c r="F834" s="24" t="s">
        <v>931</v>
      </c>
      <c r="G834" s="24" t="s">
        <v>2009</v>
      </c>
      <c r="H834" s="1" t="s">
        <v>721</v>
      </c>
      <c r="I834" s="1"/>
      <c r="J834" s="29">
        <v>44944</v>
      </c>
      <c r="K834" s="1"/>
      <c r="L834" s="27"/>
      <c r="M834" s="27"/>
      <c r="N834" s="1">
        <v>3</v>
      </c>
      <c r="O834" s="61">
        <v>45169</v>
      </c>
      <c r="P834" s="1" t="s">
        <v>1623</v>
      </c>
      <c r="Q834" s="65" t="s">
        <v>1796</v>
      </c>
    </row>
    <row r="835" ht="26" spans="2:17">
      <c r="B835" s="23">
        <v>834</v>
      </c>
      <c r="C835" s="24" t="s">
        <v>2010</v>
      </c>
      <c r="D835" s="24" t="s">
        <v>1500</v>
      </c>
      <c r="E835" s="25">
        <v>264000</v>
      </c>
      <c r="F835" s="24" t="s">
        <v>931</v>
      </c>
      <c r="G835" s="24" t="s">
        <v>2009</v>
      </c>
      <c r="H835" s="1" t="s">
        <v>721</v>
      </c>
      <c r="I835" s="1"/>
      <c r="J835" s="29">
        <v>44944</v>
      </c>
      <c r="K835" s="1"/>
      <c r="L835" s="27"/>
      <c r="M835" s="27"/>
      <c r="N835" s="1">
        <v>3</v>
      </c>
      <c r="O835" s="61">
        <v>45169</v>
      </c>
      <c r="P835" s="1" t="s">
        <v>1623</v>
      </c>
      <c r="Q835" s="65" t="s">
        <v>1796</v>
      </c>
    </row>
    <row r="836" ht="39" spans="2:17">
      <c r="B836" s="23">
        <v>835</v>
      </c>
      <c r="C836" s="24" t="s">
        <v>2011</v>
      </c>
      <c r="D836" s="24" t="s">
        <v>1500</v>
      </c>
      <c r="E836" s="33"/>
      <c r="F836" s="24" t="s">
        <v>954</v>
      </c>
      <c r="G836" s="24" t="s">
        <v>1814</v>
      </c>
      <c r="H836" s="1" t="s">
        <v>708</v>
      </c>
      <c r="I836" s="1"/>
      <c r="J836" s="29">
        <v>44853</v>
      </c>
      <c r="K836" s="1">
        <v>18.6</v>
      </c>
      <c r="L836" s="27"/>
      <c r="M836" s="27"/>
      <c r="N836" s="1">
        <v>3</v>
      </c>
      <c r="O836" s="61">
        <v>45169</v>
      </c>
      <c r="P836" s="1" t="s">
        <v>1623</v>
      </c>
      <c r="Q836" s="65" t="s">
        <v>1796</v>
      </c>
    </row>
    <row r="837" ht="52" spans="2:17">
      <c r="B837" s="23">
        <v>836</v>
      </c>
      <c r="C837" s="24" t="s">
        <v>2012</v>
      </c>
      <c r="D837" s="24" t="s">
        <v>2013</v>
      </c>
      <c r="E837" s="33"/>
      <c r="F837" s="24" t="s">
        <v>1802</v>
      </c>
      <c r="G837" s="24" t="s">
        <v>2014</v>
      </c>
      <c r="H837" s="1"/>
      <c r="I837" s="1"/>
      <c r="J837" s="29">
        <v>45000</v>
      </c>
      <c r="K837" s="1">
        <v>213.68</v>
      </c>
      <c r="L837" s="27"/>
      <c r="M837" s="27"/>
      <c r="N837" s="1">
        <v>2</v>
      </c>
      <c r="O837" s="61">
        <v>45169</v>
      </c>
      <c r="P837" s="1" t="s">
        <v>1623</v>
      </c>
      <c r="Q837" s="65" t="s">
        <v>2015</v>
      </c>
    </row>
    <row r="838" ht="52" spans="2:17">
      <c r="B838" s="23">
        <v>837</v>
      </c>
      <c r="C838" s="24" t="s">
        <v>2016</v>
      </c>
      <c r="D838" s="24" t="s">
        <v>2013</v>
      </c>
      <c r="E838" s="33"/>
      <c r="F838" s="24" t="s">
        <v>1802</v>
      </c>
      <c r="G838" s="24" t="s">
        <v>2017</v>
      </c>
      <c r="H838" s="1"/>
      <c r="I838" s="1"/>
      <c r="J838" s="29">
        <v>45000</v>
      </c>
      <c r="K838" s="1">
        <v>18.6</v>
      </c>
      <c r="L838" s="27"/>
      <c r="M838" s="27"/>
      <c r="N838" s="1">
        <v>2</v>
      </c>
      <c r="O838" s="61">
        <v>45169</v>
      </c>
      <c r="P838" s="1" t="s">
        <v>1623</v>
      </c>
      <c r="Q838" s="65" t="s">
        <v>2015</v>
      </c>
    </row>
    <row r="839" ht="39" spans="2:17">
      <c r="B839" s="23">
        <v>838</v>
      </c>
      <c r="C839" s="24" t="s">
        <v>2018</v>
      </c>
      <c r="D839" s="24" t="s">
        <v>1500</v>
      </c>
      <c r="E839" s="33"/>
      <c r="F839" s="24" t="s">
        <v>954</v>
      </c>
      <c r="G839" s="24" t="s">
        <v>1814</v>
      </c>
      <c r="H839" s="1" t="s">
        <v>708</v>
      </c>
      <c r="I839" s="1"/>
      <c r="J839" s="29">
        <v>44853</v>
      </c>
      <c r="K839" s="1">
        <v>18.8</v>
      </c>
      <c r="L839" s="27"/>
      <c r="M839" s="27"/>
      <c r="N839" s="1">
        <v>3</v>
      </c>
      <c r="O839" s="61">
        <v>45169</v>
      </c>
      <c r="P839" s="1" t="s">
        <v>1623</v>
      </c>
      <c r="Q839" s="65" t="s">
        <v>1796</v>
      </c>
    </row>
    <row r="840" ht="52" spans="2:17">
      <c r="B840" s="23">
        <v>839</v>
      </c>
      <c r="C840" s="24" t="s">
        <v>2019</v>
      </c>
      <c r="D840" s="24" t="s">
        <v>2013</v>
      </c>
      <c r="E840" s="33"/>
      <c r="F840" s="24" t="s">
        <v>1802</v>
      </c>
      <c r="G840" s="24" t="s">
        <v>2014</v>
      </c>
      <c r="H840" s="1"/>
      <c r="I840" s="1"/>
      <c r="J840" s="29">
        <v>45000</v>
      </c>
      <c r="K840" s="1">
        <v>213.68</v>
      </c>
      <c r="L840" s="27"/>
      <c r="M840" s="27"/>
      <c r="N840" s="1">
        <v>2</v>
      </c>
      <c r="O840" s="61">
        <v>45169</v>
      </c>
      <c r="P840" s="1" t="s">
        <v>1623</v>
      </c>
      <c r="Q840" s="65" t="s">
        <v>2015</v>
      </c>
    </row>
    <row r="841" ht="52" spans="2:17">
      <c r="B841" s="23">
        <v>840</v>
      </c>
      <c r="C841" s="24" t="s">
        <v>2020</v>
      </c>
      <c r="D841" s="24" t="s">
        <v>2013</v>
      </c>
      <c r="E841" s="33"/>
      <c r="F841" s="24" t="s">
        <v>1802</v>
      </c>
      <c r="G841" s="24" t="s">
        <v>2017</v>
      </c>
      <c r="H841" s="1"/>
      <c r="I841" s="1"/>
      <c r="J841" s="29">
        <v>45000</v>
      </c>
      <c r="K841" s="1">
        <v>18.8</v>
      </c>
      <c r="L841" s="27"/>
      <c r="M841" s="27"/>
      <c r="N841" s="1">
        <v>2</v>
      </c>
      <c r="O841" s="61">
        <v>45169</v>
      </c>
      <c r="P841" s="1" t="s">
        <v>1623</v>
      </c>
      <c r="Q841" s="65" t="s">
        <v>2015</v>
      </c>
    </row>
    <row r="842" ht="52" spans="2:17">
      <c r="B842" s="23">
        <v>841</v>
      </c>
      <c r="C842" s="24" t="s">
        <v>2021</v>
      </c>
      <c r="D842" s="24" t="s">
        <v>2022</v>
      </c>
      <c r="E842" s="33"/>
      <c r="F842" s="24" t="s">
        <v>1802</v>
      </c>
      <c r="G842" s="24" t="s">
        <v>1924</v>
      </c>
      <c r="H842" s="1"/>
      <c r="I842" s="1"/>
      <c r="J842" s="29">
        <v>45044</v>
      </c>
      <c r="K842" s="1">
        <v>117.9</v>
      </c>
      <c r="L842" s="27"/>
      <c r="M842" s="27"/>
      <c r="N842" s="1">
        <v>3</v>
      </c>
      <c r="O842" s="61">
        <v>45169</v>
      </c>
      <c r="P842" s="1" t="s">
        <v>1623</v>
      </c>
      <c r="Q842" s="65" t="s">
        <v>2023</v>
      </c>
    </row>
    <row r="843" ht="52" spans="2:17">
      <c r="B843" s="23">
        <v>842</v>
      </c>
      <c r="C843" s="24" t="s">
        <v>2024</v>
      </c>
      <c r="D843" s="24" t="s">
        <v>2025</v>
      </c>
      <c r="E843" s="33"/>
      <c r="F843" s="24" t="s">
        <v>1802</v>
      </c>
      <c r="G843" s="24" t="s">
        <v>1924</v>
      </c>
      <c r="H843" s="1"/>
      <c r="I843" s="1"/>
      <c r="J843" s="29">
        <v>45044</v>
      </c>
      <c r="K843" s="1">
        <v>111.6</v>
      </c>
      <c r="L843" s="27"/>
      <c r="M843" s="27"/>
      <c r="N843" s="1">
        <v>3</v>
      </c>
      <c r="O843" s="61">
        <v>45169</v>
      </c>
      <c r="P843" s="1" t="s">
        <v>1623</v>
      </c>
      <c r="Q843" s="65" t="s">
        <v>2026</v>
      </c>
    </row>
    <row r="844" ht="39" spans="2:17">
      <c r="B844" s="23">
        <v>843</v>
      </c>
      <c r="C844" s="24" t="s">
        <v>2027</v>
      </c>
      <c r="D844" s="24" t="s">
        <v>1995</v>
      </c>
      <c r="E844" s="25">
        <v>9469630</v>
      </c>
      <c r="F844" s="24" t="s">
        <v>2028</v>
      </c>
      <c r="G844" s="24" t="s">
        <v>2029</v>
      </c>
      <c r="H844" s="1" t="s">
        <v>2030</v>
      </c>
      <c r="I844" s="1" t="s">
        <v>2031</v>
      </c>
      <c r="J844" s="29">
        <v>45170</v>
      </c>
      <c r="K844" s="1"/>
      <c r="L844" s="27"/>
      <c r="M844" s="27"/>
      <c r="N844" s="1">
        <v>4</v>
      </c>
      <c r="O844" s="61">
        <v>45191</v>
      </c>
      <c r="P844" s="1" t="s">
        <v>1693</v>
      </c>
      <c r="Q844" s="65" t="s">
        <v>1998</v>
      </c>
    </row>
    <row r="845" ht="39" spans="2:17">
      <c r="B845" s="23">
        <v>844</v>
      </c>
      <c r="C845" s="24" t="s">
        <v>2032</v>
      </c>
      <c r="D845" s="24" t="s">
        <v>1368</v>
      </c>
      <c r="E845" s="33">
        <v>571600</v>
      </c>
      <c r="F845" s="24" t="s">
        <v>2033</v>
      </c>
      <c r="G845" s="24" t="s">
        <v>2034</v>
      </c>
      <c r="H845" s="1" t="s">
        <v>708</v>
      </c>
      <c r="I845" s="1" t="s">
        <v>857</v>
      </c>
      <c r="J845" s="29">
        <v>44896</v>
      </c>
      <c r="K845" s="1"/>
      <c r="L845" s="27"/>
      <c r="M845" s="27"/>
      <c r="N845" s="1">
        <v>3</v>
      </c>
      <c r="O845" s="61">
        <v>45191</v>
      </c>
      <c r="P845" s="1" t="s">
        <v>1616</v>
      </c>
      <c r="Q845" s="65" t="s">
        <v>2035</v>
      </c>
    </row>
    <row r="846" ht="45" customHeight="1" spans="2:17">
      <c r="B846" s="23">
        <v>845</v>
      </c>
      <c r="C846" s="24" t="s">
        <v>2036</v>
      </c>
      <c r="D846" s="24" t="s">
        <v>1346</v>
      </c>
      <c r="E846" s="25">
        <v>6585.9</v>
      </c>
      <c r="F846" s="24" t="s">
        <v>1662</v>
      </c>
      <c r="G846" s="24" t="s">
        <v>2037</v>
      </c>
      <c r="H846" s="1"/>
      <c r="I846" s="1"/>
      <c r="J846" s="29">
        <v>44692</v>
      </c>
      <c r="K846" s="1"/>
      <c r="L846" s="27"/>
      <c r="M846" s="27"/>
      <c r="N846" s="1">
        <v>3</v>
      </c>
      <c r="O846" s="61">
        <v>45191</v>
      </c>
      <c r="P846" s="1" t="s">
        <v>1616</v>
      </c>
      <c r="Q846" s="65" t="s">
        <v>1719</v>
      </c>
    </row>
    <row r="847" ht="26" spans="2:17">
      <c r="B847" s="23">
        <v>846</v>
      </c>
      <c r="C847" s="24" t="s">
        <v>2038</v>
      </c>
      <c r="D847" s="24" t="s">
        <v>1346</v>
      </c>
      <c r="E847" s="25">
        <v>27</v>
      </c>
      <c r="F847" s="24" t="s">
        <v>931</v>
      </c>
      <c r="G847" s="24" t="s">
        <v>2039</v>
      </c>
      <c r="H847" s="1"/>
      <c r="I847" s="1"/>
      <c r="J847" s="29">
        <v>45074</v>
      </c>
      <c r="K847" s="1"/>
      <c r="L847" s="27"/>
      <c r="M847" s="27"/>
      <c r="N847" s="1">
        <v>3</v>
      </c>
      <c r="O847" s="61">
        <v>45191</v>
      </c>
      <c r="P847" s="1" t="s">
        <v>1616</v>
      </c>
      <c r="Q847" s="65" t="s">
        <v>1719</v>
      </c>
    </row>
    <row r="848" ht="26" spans="2:17">
      <c r="B848" s="23">
        <v>847</v>
      </c>
      <c r="C848" s="24" t="s">
        <v>2040</v>
      </c>
      <c r="D848" s="24" t="s">
        <v>1346</v>
      </c>
      <c r="E848" s="25">
        <v>21</v>
      </c>
      <c r="F848" s="24" t="s">
        <v>931</v>
      </c>
      <c r="G848" s="24" t="s">
        <v>2041</v>
      </c>
      <c r="H848" s="1"/>
      <c r="I848" s="1"/>
      <c r="J848" s="29">
        <v>45074</v>
      </c>
      <c r="K848" s="1"/>
      <c r="L848" s="27"/>
      <c r="M848" s="27"/>
      <c r="N848" s="1">
        <v>3</v>
      </c>
      <c r="O848" s="61">
        <v>45191</v>
      </c>
      <c r="P848" s="1" t="s">
        <v>1616</v>
      </c>
      <c r="Q848" s="65" t="s">
        <v>1719</v>
      </c>
    </row>
    <row r="849" ht="26" spans="2:17">
      <c r="B849" s="1">
        <v>848</v>
      </c>
      <c r="C849" s="24" t="s">
        <v>2042</v>
      </c>
      <c r="D849" s="24" t="s">
        <v>1725</v>
      </c>
      <c r="E849" s="25">
        <v>4331600</v>
      </c>
      <c r="F849" s="24" t="s">
        <v>1173</v>
      </c>
      <c r="G849" s="24" t="s">
        <v>1726</v>
      </c>
      <c r="H849" s="1" t="s">
        <v>884</v>
      </c>
      <c r="I849" s="1"/>
      <c r="J849" s="29">
        <v>45146</v>
      </c>
      <c r="K849" s="1"/>
      <c r="L849" s="27"/>
      <c r="M849" s="27"/>
      <c r="N849" s="1">
        <v>2</v>
      </c>
      <c r="O849" s="61">
        <v>45218</v>
      </c>
      <c r="P849" s="1" t="s">
        <v>1644</v>
      </c>
      <c r="Q849" s="65" t="s">
        <v>1727</v>
      </c>
    </row>
    <row r="850" ht="39" spans="2:17">
      <c r="B850" s="23">
        <v>849</v>
      </c>
      <c r="C850" s="24" t="s">
        <v>2043</v>
      </c>
      <c r="D850" s="24" t="s">
        <v>1346</v>
      </c>
      <c r="E850" s="25">
        <v>1305.5</v>
      </c>
      <c r="F850" s="24" t="s">
        <v>2044</v>
      </c>
      <c r="G850" s="24" t="s">
        <v>2045</v>
      </c>
      <c r="H850" s="1"/>
      <c r="I850" s="1"/>
      <c r="J850" s="29">
        <v>45125</v>
      </c>
      <c r="K850" s="1"/>
      <c r="L850" s="27"/>
      <c r="M850" s="27"/>
      <c r="N850" s="1">
        <v>3</v>
      </c>
      <c r="O850" s="61">
        <v>45267</v>
      </c>
      <c r="P850" s="1" t="s">
        <v>1616</v>
      </c>
      <c r="Q850" s="65" t="s">
        <v>1719</v>
      </c>
    </row>
    <row r="851" ht="26" spans="2:17">
      <c r="B851" s="1">
        <v>850</v>
      </c>
      <c r="C851" s="24" t="s">
        <v>2046</v>
      </c>
      <c r="D851" s="24" t="s">
        <v>1346</v>
      </c>
      <c r="E851" s="25">
        <v>144</v>
      </c>
      <c r="F851" s="24" t="s">
        <v>2047</v>
      </c>
      <c r="G851" s="24" t="s">
        <v>2048</v>
      </c>
      <c r="H851" s="1"/>
      <c r="I851" s="1"/>
      <c r="J851" s="29">
        <v>45229</v>
      </c>
      <c r="K851" s="1"/>
      <c r="L851" s="27"/>
      <c r="M851" s="27"/>
      <c r="N851" s="1">
        <v>3</v>
      </c>
      <c r="O851" s="61">
        <v>45267</v>
      </c>
      <c r="P851" s="1" t="s">
        <v>1616</v>
      </c>
      <c r="Q851" s="65" t="s">
        <v>1719</v>
      </c>
    </row>
    <row r="852" ht="33.6" customHeight="1" spans="2:17">
      <c r="B852" s="23">
        <v>851</v>
      </c>
      <c r="C852" s="24" t="s">
        <v>2049</v>
      </c>
      <c r="D852" s="24" t="s">
        <v>1368</v>
      </c>
      <c r="E852" s="33"/>
      <c r="F852" s="24" t="s">
        <v>1901</v>
      </c>
      <c r="G852" s="24" t="s">
        <v>2050</v>
      </c>
      <c r="H852" s="1"/>
      <c r="I852" s="1"/>
      <c r="J852" s="29">
        <v>44728</v>
      </c>
      <c r="K852" s="1"/>
      <c r="L852" s="27"/>
      <c r="M852" s="27"/>
      <c r="N852" s="1">
        <v>3</v>
      </c>
      <c r="O852" s="61">
        <v>45267</v>
      </c>
      <c r="P852" s="1" t="s">
        <v>1616</v>
      </c>
      <c r="Q852" s="65" t="s">
        <v>2035</v>
      </c>
    </row>
    <row r="853" ht="26" spans="2:17">
      <c r="B853" s="1">
        <v>852</v>
      </c>
      <c r="C853" s="24" t="s">
        <v>2051</v>
      </c>
      <c r="D853" s="24" t="s">
        <v>2052</v>
      </c>
      <c r="E853" s="25">
        <v>679400</v>
      </c>
      <c r="F853" s="24" t="s">
        <v>954</v>
      </c>
      <c r="G853" s="24" t="s">
        <v>2053</v>
      </c>
      <c r="H853" s="1"/>
      <c r="I853" s="1"/>
      <c r="J853" s="29">
        <v>45250</v>
      </c>
      <c r="K853" s="1">
        <v>98</v>
      </c>
      <c r="L853" s="27"/>
      <c r="M853" s="27"/>
      <c r="N853" s="1">
        <v>2</v>
      </c>
      <c r="O853" s="61">
        <v>45271</v>
      </c>
      <c r="P853" s="1" t="s">
        <v>1949</v>
      </c>
      <c r="Q853" s="65" t="s">
        <v>2054</v>
      </c>
    </row>
    <row r="854" ht="39" spans="2:17">
      <c r="B854" s="23">
        <v>853</v>
      </c>
      <c r="C854" s="24" t="s">
        <v>2055</v>
      </c>
      <c r="D854" s="24" t="s">
        <v>1029</v>
      </c>
      <c r="E854" s="25">
        <v>2521000</v>
      </c>
      <c r="F854" s="24" t="s">
        <v>1750</v>
      </c>
      <c r="G854" s="24" t="s">
        <v>1830</v>
      </c>
      <c r="H854" s="1" t="s">
        <v>1031</v>
      </c>
      <c r="I854" s="1"/>
      <c r="J854" s="29">
        <v>45168</v>
      </c>
      <c r="K854" s="1">
        <v>9.5</v>
      </c>
      <c r="L854" s="27"/>
      <c r="M854" s="27"/>
      <c r="N854" s="1">
        <v>2</v>
      </c>
      <c r="O854" s="61">
        <v>45274</v>
      </c>
      <c r="P854" s="1" t="s">
        <v>1644</v>
      </c>
      <c r="Q854" s="65" t="s">
        <v>1696</v>
      </c>
    </row>
    <row r="855" ht="32.4" customHeight="1" spans="2:17">
      <c r="B855" s="1">
        <v>854</v>
      </c>
      <c r="C855" s="14" t="s">
        <v>2056</v>
      </c>
      <c r="D855" s="24" t="s">
        <v>1029</v>
      </c>
      <c r="E855" s="25">
        <v>1690873</v>
      </c>
      <c r="F855" s="24" t="s">
        <v>2057</v>
      </c>
      <c r="G855" s="24" t="s">
        <v>2058</v>
      </c>
      <c r="H855" s="1" t="s">
        <v>1031</v>
      </c>
      <c r="I855" s="1"/>
      <c r="J855" s="29">
        <v>45162</v>
      </c>
      <c r="K855" s="1">
        <v>8</v>
      </c>
      <c r="L855" s="27"/>
      <c r="M855" s="27"/>
      <c r="N855" s="1">
        <v>2</v>
      </c>
      <c r="O855" s="61">
        <v>45274</v>
      </c>
      <c r="P855" s="1" t="s">
        <v>1644</v>
      </c>
      <c r="Q855" s="65" t="s">
        <v>1696</v>
      </c>
    </row>
    <row r="856" ht="33" customHeight="1" spans="2:17">
      <c r="B856" s="23">
        <v>855</v>
      </c>
      <c r="C856" s="14" t="s">
        <v>2059</v>
      </c>
      <c r="D856" s="24" t="s">
        <v>1029</v>
      </c>
      <c r="E856" s="25">
        <v>1395274</v>
      </c>
      <c r="F856" s="24" t="s">
        <v>2057</v>
      </c>
      <c r="G856" s="24" t="s">
        <v>2058</v>
      </c>
      <c r="H856" s="1" t="s">
        <v>1031</v>
      </c>
      <c r="I856" s="1"/>
      <c r="J856" s="29">
        <v>45254</v>
      </c>
      <c r="K856" s="1">
        <v>8</v>
      </c>
      <c r="L856" s="27"/>
      <c r="M856" s="27"/>
      <c r="N856" s="1">
        <v>2</v>
      </c>
      <c r="O856" s="61">
        <v>45274</v>
      </c>
      <c r="P856" s="1" t="s">
        <v>1644</v>
      </c>
      <c r="Q856" s="65" t="s">
        <v>1696</v>
      </c>
    </row>
    <row r="857" ht="26" spans="2:17">
      <c r="B857" s="1">
        <v>856</v>
      </c>
      <c r="C857" s="24" t="s">
        <v>2060</v>
      </c>
      <c r="D857" s="24" t="s">
        <v>1995</v>
      </c>
      <c r="E857" s="25">
        <v>685200</v>
      </c>
      <c r="F857" s="24" t="s">
        <v>2061</v>
      </c>
      <c r="G857" s="24" t="s">
        <v>1996</v>
      </c>
      <c r="H857" s="1" t="s">
        <v>1997</v>
      </c>
      <c r="I857" s="1" t="s">
        <v>1301</v>
      </c>
      <c r="J857" s="29">
        <v>45139</v>
      </c>
      <c r="K857" s="1"/>
      <c r="L857" s="27"/>
      <c r="M857" s="27"/>
      <c r="N857" s="1">
        <v>4</v>
      </c>
      <c r="O857" s="61">
        <v>45299</v>
      </c>
      <c r="P857" s="1" t="s">
        <v>1613</v>
      </c>
      <c r="Q857" s="65" t="s">
        <v>2054</v>
      </c>
    </row>
    <row r="858" ht="26" spans="2:17">
      <c r="B858" s="23">
        <v>857</v>
      </c>
      <c r="C858" s="24" t="s">
        <v>2062</v>
      </c>
      <c r="D858" s="24" t="s">
        <v>1995</v>
      </c>
      <c r="E858" s="25">
        <v>1120330</v>
      </c>
      <c r="F858" s="24" t="s">
        <v>2061</v>
      </c>
      <c r="G858" s="24" t="s">
        <v>1996</v>
      </c>
      <c r="H858" s="1" t="s">
        <v>1997</v>
      </c>
      <c r="I858" s="1" t="s">
        <v>1301</v>
      </c>
      <c r="J858" s="29">
        <v>45139</v>
      </c>
      <c r="K858" s="1"/>
      <c r="L858" s="27"/>
      <c r="M858" s="27"/>
      <c r="N858" s="1">
        <v>4</v>
      </c>
      <c r="O858" s="61">
        <v>45299</v>
      </c>
      <c r="P858" s="1" t="s">
        <v>1613</v>
      </c>
      <c r="Q858" s="65" t="s">
        <v>2054</v>
      </c>
    </row>
    <row r="859" ht="26" spans="2:17">
      <c r="B859" s="1">
        <v>858</v>
      </c>
      <c r="C859" s="24" t="s">
        <v>2063</v>
      </c>
      <c r="D859" s="24" t="s">
        <v>1995</v>
      </c>
      <c r="E859" s="25">
        <v>1420000</v>
      </c>
      <c r="F859" s="24" t="s">
        <v>2061</v>
      </c>
      <c r="G859" s="24" t="s">
        <v>1996</v>
      </c>
      <c r="H859" s="1" t="s">
        <v>1997</v>
      </c>
      <c r="I859" s="1" t="s">
        <v>1301</v>
      </c>
      <c r="J859" s="29">
        <v>45139</v>
      </c>
      <c r="K859" s="1"/>
      <c r="L859" s="27"/>
      <c r="M859" s="27"/>
      <c r="N859" s="1">
        <v>4</v>
      </c>
      <c r="O859" s="61">
        <v>45299</v>
      </c>
      <c r="P859" s="1" t="s">
        <v>1613</v>
      </c>
      <c r="Q859" s="65" t="s">
        <v>2054</v>
      </c>
    </row>
    <row r="860" ht="39" spans="2:17">
      <c r="B860" s="23">
        <v>859</v>
      </c>
      <c r="C860" s="24" t="s">
        <v>2064</v>
      </c>
      <c r="D860" s="24" t="s">
        <v>1995</v>
      </c>
      <c r="E860" s="83">
        <v>1070400</v>
      </c>
      <c r="F860" s="24" t="s">
        <v>2061</v>
      </c>
      <c r="G860" s="24" t="s">
        <v>1996</v>
      </c>
      <c r="H860" s="1" t="s">
        <v>1997</v>
      </c>
      <c r="I860" s="1" t="s">
        <v>1301</v>
      </c>
      <c r="J860" s="29">
        <v>45139</v>
      </c>
      <c r="K860" s="1"/>
      <c r="L860" s="27"/>
      <c r="M860" s="27"/>
      <c r="N860" s="1">
        <v>4</v>
      </c>
      <c r="O860" s="61">
        <v>45299</v>
      </c>
      <c r="P860" s="1" t="s">
        <v>1613</v>
      </c>
      <c r="Q860" s="65" t="s">
        <v>2054</v>
      </c>
    </row>
    <row r="861" ht="39" spans="2:17">
      <c r="B861" s="23">
        <v>860</v>
      </c>
      <c r="C861" s="24" t="s">
        <v>2065</v>
      </c>
      <c r="D861" s="24" t="s">
        <v>2066</v>
      </c>
      <c r="E861" s="25">
        <v>652800</v>
      </c>
      <c r="F861" s="24" t="s">
        <v>2067</v>
      </c>
      <c r="G861" s="24" t="s">
        <v>2068</v>
      </c>
      <c r="H861" s="1" t="s">
        <v>2030</v>
      </c>
      <c r="I861" s="1" t="s">
        <v>2031</v>
      </c>
      <c r="J861" s="29">
        <v>45200</v>
      </c>
      <c r="K861" s="1"/>
      <c r="L861" s="27"/>
      <c r="M861" s="27"/>
      <c r="N861" s="1">
        <v>5</v>
      </c>
      <c r="O861" s="61">
        <v>45300</v>
      </c>
      <c r="P861" s="1" t="s">
        <v>2069</v>
      </c>
      <c r="Q861" s="65" t="s">
        <v>2070</v>
      </c>
    </row>
    <row r="862" ht="26" spans="2:17">
      <c r="B862" s="23">
        <v>861</v>
      </c>
      <c r="C862" s="24" t="s">
        <v>2071</v>
      </c>
      <c r="D862" s="24" t="s">
        <v>2072</v>
      </c>
      <c r="E862" s="33"/>
      <c r="F862" s="24" t="s">
        <v>1142</v>
      </c>
      <c r="G862" s="24" t="s">
        <v>2073</v>
      </c>
      <c r="H862" s="1"/>
      <c r="I862" s="1"/>
      <c r="J862" s="29">
        <v>45237</v>
      </c>
      <c r="K862" s="1"/>
      <c r="L862" s="27"/>
      <c r="M862" s="27"/>
      <c r="N862" s="1">
        <v>2</v>
      </c>
      <c r="O862" s="61">
        <v>45300</v>
      </c>
      <c r="P862" s="1" t="s">
        <v>1472</v>
      </c>
      <c r="Q862" s="65" t="s">
        <v>2074</v>
      </c>
    </row>
    <row r="863" ht="26" spans="2:17">
      <c r="B863" s="23">
        <v>862</v>
      </c>
      <c r="C863" s="24" t="s">
        <v>2075</v>
      </c>
      <c r="D863" s="24" t="s">
        <v>1346</v>
      </c>
      <c r="E863" s="25">
        <v>274</v>
      </c>
      <c r="F863" s="24" t="s">
        <v>696</v>
      </c>
      <c r="G863" s="24" t="s">
        <v>2076</v>
      </c>
      <c r="H863" s="1"/>
      <c r="I863" s="1"/>
      <c r="J863" s="29">
        <v>45229</v>
      </c>
      <c r="K863" s="1"/>
      <c r="L863" s="27"/>
      <c r="M863" s="27"/>
      <c r="N863" s="1">
        <v>3</v>
      </c>
      <c r="O863" s="61">
        <v>45317</v>
      </c>
      <c r="P863" s="1" t="s">
        <v>1616</v>
      </c>
      <c r="Q863" s="65" t="s">
        <v>1719</v>
      </c>
    </row>
    <row r="864" ht="52" spans="2:17">
      <c r="B864" s="23">
        <v>863</v>
      </c>
      <c r="C864" s="24" t="s">
        <v>2077</v>
      </c>
      <c r="D864" s="24" t="s">
        <v>2078</v>
      </c>
      <c r="E864" s="25">
        <v>545900</v>
      </c>
      <c r="F864" s="24" t="s">
        <v>2079</v>
      </c>
      <c r="G864" s="24" t="s">
        <v>2080</v>
      </c>
      <c r="H864" s="1" t="s">
        <v>708</v>
      </c>
      <c r="I864" s="1" t="s">
        <v>857</v>
      </c>
      <c r="J864" s="29">
        <v>45195</v>
      </c>
      <c r="K864" s="1"/>
      <c r="L864" s="27"/>
      <c r="M864" s="27"/>
      <c r="N864" s="1">
        <v>3</v>
      </c>
      <c r="O864" s="61">
        <v>45317</v>
      </c>
      <c r="P864" s="1" t="s">
        <v>1616</v>
      </c>
      <c r="Q864" s="65" t="s">
        <v>2081</v>
      </c>
    </row>
    <row r="865" ht="26" spans="2:17">
      <c r="B865" s="1">
        <v>864</v>
      </c>
      <c r="C865" s="24" t="s">
        <v>2082</v>
      </c>
      <c r="D865" s="24" t="s">
        <v>2083</v>
      </c>
      <c r="E865" s="33"/>
      <c r="F865" s="24" t="s">
        <v>1142</v>
      </c>
      <c r="G865" s="24" t="s">
        <v>2084</v>
      </c>
      <c r="H865" s="1"/>
      <c r="I865" s="1"/>
      <c r="J865" s="29">
        <v>44958</v>
      </c>
      <c r="K865" s="1"/>
      <c r="L865" s="27"/>
      <c r="M865" s="27"/>
      <c r="N865" s="1">
        <v>1</v>
      </c>
      <c r="O865" s="61">
        <v>45320</v>
      </c>
      <c r="P865" s="1" t="s">
        <v>1457</v>
      </c>
      <c r="Q865" s="65" t="s">
        <v>2085</v>
      </c>
    </row>
    <row r="866" ht="26" spans="2:17">
      <c r="B866" s="1">
        <v>865</v>
      </c>
      <c r="C866" s="24" t="s">
        <v>2086</v>
      </c>
      <c r="D866" s="24" t="s">
        <v>1346</v>
      </c>
      <c r="E866" s="25">
        <v>27.86</v>
      </c>
      <c r="F866" s="24" t="s">
        <v>2087</v>
      </c>
      <c r="G866" s="24" t="s">
        <v>2088</v>
      </c>
      <c r="H866" s="1"/>
      <c r="I866" s="1"/>
      <c r="J866" s="29">
        <v>45276</v>
      </c>
      <c r="K866" s="1"/>
      <c r="L866" s="27"/>
      <c r="M866" s="27"/>
      <c r="N866" s="1">
        <v>3</v>
      </c>
      <c r="O866" s="61">
        <v>45324</v>
      </c>
      <c r="P866" s="1" t="s">
        <v>1616</v>
      </c>
      <c r="Q866" s="65" t="s">
        <v>1719</v>
      </c>
    </row>
    <row r="867" ht="39" spans="2:17">
      <c r="B867" s="1">
        <v>866</v>
      </c>
      <c r="C867" s="24" t="s">
        <v>2089</v>
      </c>
      <c r="D867" s="24" t="s">
        <v>1029</v>
      </c>
      <c r="E867" s="25">
        <v>2521000</v>
      </c>
      <c r="F867" s="24" t="s">
        <v>1832</v>
      </c>
      <c r="G867" s="24" t="s">
        <v>2090</v>
      </c>
      <c r="H867" s="1" t="s">
        <v>1031</v>
      </c>
      <c r="I867" s="1"/>
      <c r="J867" s="29">
        <v>45238</v>
      </c>
      <c r="K867" s="1"/>
      <c r="L867" s="27"/>
      <c r="M867" s="27"/>
      <c r="N867" s="1">
        <v>2</v>
      </c>
      <c r="O867" s="61">
        <v>45326</v>
      </c>
      <c r="P867" s="1" t="s">
        <v>1896</v>
      </c>
      <c r="Q867" s="65" t="s">
        <v>1696</v>
      </c>
    </row>
    <row r="868" ht="26" spans="2:17">
      <c r="B868" s="1">
        <v>867</v>
      </c>
      <c r="C868" s="24" t="s">
        <v>2091</v>
      </c>
      <c r="D868" s="24" t="s">
        <v>1029</v>
      </c>
      <c r="E868" s="25">
        <v>1107500</v>
      </c>
      <c r="F868" s="24" t="s">
        <v>2057</v>
      </c>
      <c r="G868" s="24" t="s">
        <v>2057</v>
      </c>
      <c r="H868" s="1" t="s">
        <v>1031</v>
      </c>
      <c r="I868" s="1"/>
      <c r="J868" s="29">
        <v>45265</v>
      </c>
      <c r="K868" s="1"/>
      <c r="L868" s="27"/>
      <c r="M868" s="27"/>
      <c r="N868" s="1">
        <v>2</v>
      </c>
      <c r="O868" s="61">
        <v>45326</v>
      </c>
      <c r="P868" s="1" t="s">
        <v>1896</v>
      </c>
      <c r="Q868" s="65" t="s">
        <v>1696</v>
      </c>
    </row>
    <row r="869" ht="26" spans="2:17">
      <c r="B869" s="1">
        <v>868</v>
      </c>
      <c r="C869" s="24" t="s">
        <v>2092</v>
      </c>
      <c r="D869" s="24" t="s">
        <v>2093</v>
      </c>
      <c r="E869" s="25">
        <v>10824.05</v>
      </c>
      <c r="F869" s="24" t="s">
        <v>2094</v>
      </c>
      <c r="G869" s="24" t="s">
        <v>2095</v>
      </c>
      <c r="H869" s="1" t="s">
        <v>1692</v>
      </c>
      <c r="I869" s="1"/>
      <c r="J869" s="29">
        <v>45317</v>
      </c>
      <c r="K869" s="1">
        <v>22.55</v>
      </c>
      <c r="L869" s="27"/>
      <c r="M869" s="27"/>
      <c r="N869" s="1">
        <v>3</v>
      </c>
      <c r="O869" s="61">
        <v>45341</v>
      </c>
      <c r="P869" s="1" t="s">
        <v>1896</v>
      </c>
      <c r="Q869" s="65" t="s">
        <v>2096</v>
      </c>
    </row>
    <row r="870" ht="26" spans="2:17">
      <c r="B870" s="1">
        <v>869</v>
      </c>
      <c r="C870" s="24" t="s">
        <v>2097</v>
      </c>
      <c r="D870" s="24" t="s">
        <v>546</v>
      </c>
      <c r="E870" s="33"/>
      <c r="F870" s="24" t="s">
        <v>954</v>
      </c>
      <c r="G870" s="24" t="s">
        <v>2098</v>
      </c>
      <c r="H870" s="1"/>
      <c r="I870" s="1"/>
      <c r="J870" s="29">
        <v>45173</v>
      </c>
      <c r="K870" s="1">
        <v>69.367</v>
      </c>
      <c r="L870" s="27"/>
      <c r="M870" s="27"/>
      <c r="N870" s="1">
        <v>3</v>
      </c>
      <c r="O870" s="61">
        <v>45442</v>
      </c>
      <c r="P870" s="1" t="s">
        <v>2099</v>
      </c>
      <c r="Q870" s="65" t="s">
        <v>1739</v>
      </c>
    </row>
    <row r="871" ht="26" spans="2:17">
      <c r="B871" s="1">
        <v>870</v>
      </c>
      <c r="C871" s="24" t="s">
        <v>2100</v>
      </c>
      <c r="D871" s="24" t="s">
        <v>546</v>
      </c>
      <c r="E871" s="33"/>
      <c r="F871" s="24" t="s">
        <v>954</v>
      </c>
      <c r="G871" s="24" t="s">
        <v>2098</v>
      </c>
      <c r="H871" s="1"/>
      <c r="I871" s="1"/>
      <c r="J871" s="29">
        <v>45143</v>
      </c>
      <c r="K871" s="1">
        <v>147.6727</v>
      </c>
      <c r="L871" s="27"/>
      <c r="M871" s="27"/>
      <c r="N871" s="1">
        <v>3</v>
      </c>
      <c r="O871" s="61">
        <v>45442</v>
      </c>
      <c r="P871" s="1" t="s">
        <v>2099</v>
      </c>
      <c r="Q871" s="65" t="s">
        <v>1739</v>
      </c>
    </row>
    <row r="872" ht="26" spans="2:17">
      <c r="B872" s="1">
        <v>871</v>
      </c>
      <c r="C872" s="24" t="s">
        <v>2101</v>
      </c>
      <c r="D872" s="24" t="s">
        <v>546</v>
      </c>
      <c r="E872" s="33"/>
      <c r="F872" s="24" t="s">
        <v>954</v>
      </c>
      <c r="G872" s="24" t="s">
        <v>2098</v>
      </c>
      <c r="H872" s="1"/>
      <c r="I872" s="1"/>
      <c r="J872" s="29">
        <v>45143</v>
      </c>
      <c r="K872" s="1">
        <v>194.7121</v>
      </c>
      <c r="L872" s="27"/>
      <c r="M872" s="27"/>
      <c r="N872" s="1">
        <v>3</v>
      </c>
      <c r="O872" s="61">
        <v>45442</v>
      </c>
      <c r="P872" s="1" t="s">
        <v>2099</v>
      </c>
      <c r="Q872" s="65" t="s">
        <v>1739</v>
      </c>
    </row>
    <row r="873" ht="26" spans="2:17">
      <c r="B873" s="1">
        <v>872</v>
      </c>
      <c r="C873" s="24" t="s">
        <v>2102</v>
      </c>
      <c r="D873" s="24" t="s">
        <v>546</v>
      </c>
      <c r="E873" s="33"/>
      <c r="F873" s="24" t="s">
        <v>954</v>
      </c>
      <c r="G873" s="24" t="s">
        <v>2098</v>
      </c>
      <c r="H873" s="1"/>
      <c r="I873" s="1"/>
      <c r="J873" s="29">
        <v>45107</v>
      </c>
      <c r="K873" s="1">
        <v>284.1776</v>
      </c>
      <c r="L873" s="27"/>
      <c r="M873" s="27"/>
      <c r="N873" s="1">
        <v>3</v>
      </c>
      <c r="O873" s="61">
        <v>45442</v>
      </c>
      <c r="P873" s="1" t="s">
        <v>2099</v>
      </c>
      <c r="Q873" s="65" t="s">
        <v>1739</v>
      </c>
    </row>
    <row r="874" ht="26" spans="2:17">
      <c r="B874" s="1">
        <v>873</v>
      </c>
      <c r="C874" s="24" t="s">
        <v>2103</v>
      </c>
      <c r="D874" s="24" t="s">
        <v>546</v>
      </c>
      <c r="E874" s="33"/>
      <c r="F874" s="24" t="s">
        <v>954</v>
      </c>
      <c r="G874" s="24" t="s">
        <v>2098</v>
      </c>
      <c r="H874" s="1"/>
      <c r="I874" s="1"/>
      <c r="J874" s="29">
        <v>45168</v>
      </c>
      <c r="K874" s="1">
        <v>129.3548</v>
      </c>
      <c r="L874" s="27"/>
      <c r="M874" s="27"/>
      <c r="N874" s="1">
        <v>3</v>
      </c>
      <c r="O874" s="61">
        <v>45442</v>
      </c>
      <c r="P874" s="1" t="s">
        <v>2099</v>
      </c>
      <c r="Q874" s="65" t="s">
        <v>1739</v>
      </c>
    </row>
    <row r="875" ht="52" spans="2:17">
      <c r="B875" s="1">
        <v>874</v>
      </c>
      <c r="C875" s="24" t="s">
        <v>2104</v>
      </c>
      <c r="D875" s="24" t="s">
        <v>2105</v>
      </c>
      <c r="E875" s="25">
        <v>1817300</v>
      </c>
      <c r="F875" s="24" t="s">
        <v>2106</v>
      </c>
      <c r="G875" s="24" t="s">
        <v>2107</v>
      </c>
      <c r="H875" s="1" t="s">
        <v>2030</v>
      </c>
      <c r="I875" s="1" t="s">
        <v>2031</v>
      </c>
      <c r="J875" s="29">
        <v>45427</v>
      </c>
      <c r="K875" s="1"/>
      <c r="L875" s="27"/>
      <c r="M875" s="27"/>
      <c r="N875" s="1">
        <v>5</v>
      </c>
      <c r="O875" s="61">
        <v>45442</v>
      </c>
      <c r="P875" s="1" t="s">
        <v>2069</v>
      </c>
      <c r="Q875" s="65" t="s">
        <v>2108</v>
      </c>
    </row>
    <row r="876" ht="52" spans="2:17">
      <c r="B876" s="1">
        <v>875</v>
      </c>
      <c r="C876" s="24" t="s">
        <v>2109</v>
      </c>
      <c r="D876" s="24" t="s">
        <v>2110</v>
      </c>
      <c r="E876" s="33"/>
      <c r="F876" s="24" t="s">
        <v>2111</v>
      </c>
      <c r="G876" s="24" t="s">
        <v>2111</v>
      </c>
      <c r="H876" s="1"/>
      <c r="I876" s="1"/>
      <c r="J876" s="29">
        <v>45357</v>
      </c>
      <c r="K876" s="1"/>
      <c r="L876" s="27"/>
      <c r="M876" s="27"/>
      <c r="N876" s="1">
        <v>2</v>
      </c>
      <c r="O876" s="61">
        <v>45442</v>
      </c>
      <c r="P876" s="1" t="s">
        <v>2112</v>
      </c>
      <c r="Q876" s="65" t="s">
        <v>2113</v>
      </c>
    </row>
    <row r="877" ht="26" spans="2:17">
      <c r="B877" s="1">
        <v>876</v>
      </c>
      <c r="C877" s="24" t="s">
        <v>2114</v>
      </c>
      <c r="D877" s="24" t="s">
        <v>817</v>
      </c>
      <c r="E877" s="25">
        <v>1340500</v>
      </c>
      <c r="F877" s="24" t="s">
        <v>2115</v>
      </c>
      <c r="G877" s="24" t="s">
        <v>2116</v>
      </c>
      <c r="H877" s="1" t="s">
        <v>708</v>
      </c>
      <c r="I877" s="1"/>
      <c r="J877" s="29">
        <v>45126</v>
      </c>
      <c r="K877" s="1"/>
      <c r="L877" s="27"/>
      <c r="M877" s="27"/>
      <c r="N877" s="1">
        <v>4</v>
      </c>
      <c r="O877" s="61">
        <v>45442</v>
      </c>
      <c r="P877" s="1" t="s">
        <v>2117</v>
      </c>
      <c r="Q877" s="65" t="s">
        <v>1993</v>
      </c>
    </row>
    <row r="878" ht="52" spans="2:17">
      <c r="B878" s="1">
        <v>877</v>
      </c>
      <c r="C878" s="24" t="s">
        <v>2118</v>
      </c>
      <c r="D878" s="24" t="s">
        <v>2119</v>
      </c>
      <c r="E878" s="25">
        <v>1340500</v>
      </c>
      <c r="F878" s="24" t="s">
        <v>2120</v>
      </c>
      <c r="G878" s="24" t="s">
        <v>2121</v>
      </c>
      <c r="H878" s="1"/>
      <c r="I878" s="1"/>
      <c r="J878" s="29">
        <v>45300</v>
      </c>
      <c r="K878" s="1">
        <v>348</v>
      </c>
      <c r="L878" s="27"/>
      <c r="M878" s="27"/>
      <c r="N878" s="1">
        <v>3</v>
      </c>
      <c r="O878" s="61">
        <v>45442</v>
      </c>
      <c r="P878" s="1" t="s">
        <v>2117</v>
      </c>
      <c r="Q878" s="65" t="s">
        <v>2122</v>
      </c>
    </row>
    <row r="879" ht="39" spans="2:17">
      <c r="B879" s="1">
        <v>878</v>
      </c>
      <c r="C879" s="24" t="s">
        <v>2123</v>
      </c>
      <c r="D879" s="24" t="s">
        <v>1500</v>
      </c>
      <c r="E879" s="25">
        <v>334600</v>
      </c>
      <c r="F879" s="24" t="s">
        <v>2124</v>
      </c>
      <c r="G879" s="24" t="s">
        <v>2125</v>
      </c>
      <c r="H879" s="1" t="s">
        <v>1001</v>
      </c>
      <c r="I879" s="1"/>
      <c r="J879" s="29">
        <v>45407</v>
      </c>
      <c r="K879" s="1"/>
      <c r="L879" s="27"/>
      <c r="M879" s="27"/>
      <c r="N879" s="1">
        <v>3</v>
      </c>
      <c r="O879" s="61">
        <v>45526</v>
      </c>
      <c r="P879" s="1" t="s">
        <v>2126</v>
      </c>
      <c r="Q879" s="65" t="s">
        <v>1796</v>
      </c>
    </row>
    <row r="880" ht="26" spans="2:17">
      <c r="B880" s="1">
        <v>879</v>
      </c>
      <c r="C880" s="14" t="s">
        <v>2127</v>
      </c>
      <c r="D880" s="24" t="s">
        <v>1346</v>
      </c>
      <c r="E880" s="25">
        <v>33.4068</v>
      </c>
      <c r="F880" s="24" t="s">
        <v>1901</v>
      </c>
      <c r="G880" s="24" t="s">
        <v>2128</v>
      </c>
      <c r="H880" s="1"/>
      <c r="I880" s="1"/>
      <c r="J880" s="29">
        <v>45456</v>
      </c>
      <c r="K880" s="1"/>
      <c r="L880" s="27"/>
      <c r="M880" s="27"/>
      <c r="N880" s="1">
        <v>3</v>
      </c>
      <c r="O880" s="61">
        <v>45526</v>
      </c>
      <c r="P880" s="1" t="s">
        <v>1616</v>
      </c>
      <c r="Q880" s="65" t="s">
        <v>1719</v>
      </c>
    </row>
    <row r="881" ht="26" spans="2:17">
      <c r="B881" s="1">
        <v>880</v>
      </c>
      <c r="C881" s="14" t="s">
        <v>2129</v>
      </c>
      <c r="D881" s="24" t="s">
        <v>1346</v>
      </c>
      <c r="E881" s="25">
        <v>15.4368</v>
      </c>
      <c r="F881" s="24" t="s">
        <v>1901</v>
      </c>
      <c r="G881" s="24" t="s">
        <v>2130</v>
      </c>
      <c r="H881" s="1"/>
      <c r="I881" s="1"/>
      <c r="J881" s="29">
        <v>45456</v>
      </c>
      <c r="K881" s="1"/>
      <c r="L881" s="27"/>
      <c r="M881" s="27"/>
      <c r="N881" s="1">
        <v>3</v>
      </c>
      <c r="O881" s="61">
        <v>45526</v>
      </c>
      <c r="P881" s="1" t="s">
        <v>1616</v>
      </c>
      <c r="Q881" s="65" t="s">
        <v>1719</v>
      </c>
    </row>
    <row r="882" ht="26" spans="2:17">
      <c r="B882" s="1">
        <v>881</v>
      </c>
      <c r="C882" s="14" t="s">
        <v>2131</v>
      </c>
      <c r="D882" s="24" t="s">
        <v>1346</v>
      </c>
      <c r="E882" s="25">
        <v>51.96</v>
      </c>
      <c r="F882" s="24" t="s">
        <v>1901</v>
      </c>
      <c r="G882" s="24" t="s">
        <v>2132</v>
      </c>
      <c r="H882" s="1"/>
      <c r="I882" s="1"/>
      <c r="J882" s="29">
        <v>45456</v>
      </c>
      <c r="K882" s="1"/>
      <c r="L882" s="27"/>
      <c r="M882" s="27"/>
      <c r="N882" s="1">
        <v>3</v>
      </c>
      <c r="O882" s="61">
        <v>45526</v>
      </c>
      <c r="P882" s="1" t="s">
        <v>1616</v>
      </c>
      <c r="Q882" s="65" t="s">
        <v>1719</v>
      </c>
    </row>
    <row r="883" ht="26" spans="2:17">
      <c r="B883" s="1">
        <v>882</v>
      </c>
      <c r="C883" s="14" t="s">
        <v>2133</v>
      </c>
      <c r="D883" s="24" t="s">
        <v>1346</v>
      </c>
      <c r="E883" s="25">
        <v>113.7939</v>
      </c>
      <c r="F883" s="24" t="s">
        <v>1662</v>
      </c>
      <c r="G883" s="24" t="s">
        <v>2134</v>
      </c>
      <c r="H883" s="1"/>
      <c r="I883" s="1"/>
      <c r="J883" s="29">
        <v>45456</v>
      </c>
      <c r="K883" s="1"/>
      <c r="L883" s="27"/>
      <c r="M883" s="27"/>
      <c r="N883" s="1">
        <v>3</v>
      </c>
      <c r="O883" s="61">
        <v>45526</v>
      </c>
      <c r="P883" s="1" t="s">
        <v>1616</v>
      </c>
      <c r="Q883" s="65" t="s">
        <v>1719</v>
      </c>
    </row>
    <row r="884" ht="26" spans="2:17">
      <c r="B884" s="1">
        <v>883</v>
      </c>
      <c r="C884" s="14" t="s">
        <v>2135</v>
      </c>
      <c r="D884" s="24" t="s">
        <v>1346</v>
      </c>
      <c r="E884" s="25">
        <v>178.883</v>
      </c>
      <c r="F884" s="24" t="s">
        <v>1662</v>
      </c>
      <c r="G884" s="24" t="s">
        <v>2136</v>
      </c>
      <c r="H884" s="1"/>
      <c r="I884" s="1"/>
      <c r="J884" s="29">
        <v>45456</v>
      </c>
      <c r="K884" s="1"/>
      <c r="L884" s="27"/>
      <c r="M884" s="27"/>
      <c r="N884" s="1">
        <v>3</v>
      </c>
      <c r="O884" s="61">
        <v>45526</v>
      </c>
      <c r="P884" s="1" t="s">
        <v>1616</v>
      </c>
      <c r="Q884" s="65" t="s">
        <v>1719</v>
      </c>
    </row>
    <row r="885" ht="26" spans="2:17">
      <c r="B885" s="1">
        <v>884</v>
      </c>
      <c r="C885" s="14" t="s">
        <v>2137</v>
      </c>
      <c r="D885" s="24" t="s">
        <v>1346</v>
      </c>
      <c r="E885" s="25">
        <v>233.1828</v>
      </c>
      <c r="F885" s="24" t="s">
        <v>1901</v>
      </c>
      <c r="G885" s="24" t="s">
        <v>2138</v>
      </c>
      <c r="H885" s="1"/>
      <c r="I885" s="1"/>
      <c r="J885" s="29">
        <v>45456</v>
      </c>
      <c r="K885" s="1"/>
      <c r="L885" s="27"/>
      <c r="M885" s="27"/>
      <c r="N885" s="1">
        <v>3</v>
      </c>
      <c r="O885" s="61">
        <v>45526</v>
      </c>
      <c r="P885" s="1" t="s">
        <v>1616</v>
      </c>
      <c r="Q885" s="65" t="s">
        <v>1719</v>
      </c>
    </row>
    <row r="886" ht="26" spans="2:17">
      <c r="B886" s="1">
        <v>885</v>
      </c>
      <c r="C886" s="14" t="s">
        <v>2139</v>
      </c>
      <c r="D886" s="24" t="s">
        <v>1346</v>
      </c>
      <c r="E886" s="25">
        <v>245.75</v>
      </c>
      <c r="F886" s="24" t="s">
        <v>1901</v>
      </c>
      <c r="G886" s="24" t="s">
        <v>2140</v>
      </c>
      <c r="H886" s="1"/>
      <c r="I886" s="1"/>
      <c r="J886" s="29">
        <v>45456</v>
      </c>
      <c r="K886" s="1"/>
      <c r="L886" s="27"/>
      <c r="M886" s="27"/>
      <c r="N886" s="1">
        <v>3</v>
      </c>
      <c r="O886" s="61">
        <v>45526</v>
      </c>
      <c r="P886" s="1" t="s">
        <v>1616</v>
      </c>
      <c r="Q886" s="65" t="s">
        <v>1719</v>
      </c>
    </row>
    <row r="887" ht="26" spans="2:17">
      <c r="B887" s="1">
        <v>886</v>
      </c>
      <c r="C887" s="14" t="s">
        <v>2141</v>
      </c>
      <c r="D887" s="24" t="s">
        <v>1346</v>
      </c>
      <c r="E887" s="25">
        <v>60.15</v>
      </c>
      <c r="F887" s="24" t="s">
        <v>1901</v>
      </c>
      <c r="G887" s="24" t="s">
        <v>2142</v>
      </c>
      <c r="H887" s="1"/>
      <c r="I887" s="1"/>
      <c r="J887" s="29">
        <v>45424</v>
      </c>
      <c r="K887" s="1"/>
      <c r="L887" s="27"/>
      <c r="M887" s="27"/>
      <c r="N887" s="1">
        <v>3</v>
      </c>
      <c r="O887" s="61">
        <v>45526</v>
      </c>
      <c r="P887" s="1" t="s">
        <v>1616</v>
      </c>
      <c r="Q887" s="65" t="s">
        <v>1719</v>
      </c>
    </row>
    <row r="888" ht="26" spans="2:17">
      <c r="B888" s="1">
        <v>887</v>
      </c>
      <c r="C888" s="14" t="s">
        <v>2143</v>
      </c>
      <c r="D888" s="24" t="s">
        <v>1346</v>
      </c>
      <c r="E888" s="25">
        <v>24</v>
      </c>
      <c r="F888" s="24" t="s">
        <v>1901</v>
      </c>
      <c r="G888" s="24" t="s">
        <v>2144</v>
      </c>
      <c r="H888" s="1"/>
      <c r="I888" s="1"/>
      <c r="J888" s="29">
        <v>45407</v>
      </c>
      <c r="K888" s="1"/>
      <c r="L888" s="27"/>
      <c r="M888" s="27"/>
      <c r="N888" s="1">
        <v>3</v>
      </c>
      <c r="O888" s="61">
        <v>45526</v>
      </c>
      <c r="P888" s="1" t="s">
        <v>1616</v>
      </c>
      <c r="Q888" s="65" t="s">
        <v>1719</v>
      </c>
    </row>
    <row r="889" ht="26" spans="2:17">
      <c r="B889" s="1">
        <v>888</v>
      </c>
      <c r="C889" s="14" t="s">
        <v>2145</v>
      </c>
      <c r="D889" s="24" t="s">
        <v>1346</v>
      </c>
      <c r="E889" s="25">
        <v>95</v>
      </c>
      <c r="F889" s="24" t="s">
        <v>2146</v>
      </c>
      <c r="G889" s="24" t="s">
        <v>2147</v>
      </c>
      <c r="H889" s="1"/>
      <c r="I889" s="1"/>
      <c r="J889" s="29">
        <v>45461</v>
      </c>
      <c r="K889" s="1"/>
      <c r="L889" s="27"/>
      <c r="M889" s="27"/>
      <c r="N889" s="1">
        <v>3</v>
      </c>
      <c r="O889" s="61">
        <v>45526</v>
      </c>
      <c r="P889" s="1" t="s">
        <v>1616</v>
      </c>
      <c r="Q889" s="65" t="s">
        <v>1719</v>
      </c>
    </row>
    <row r="890" ht="26" spans="2:17">
      <c r="B890" s="1">
        <v>889</v>
      </c>
      <c r="C890" s="14" t="s">
        <v>2148</v>
      </c>
      <c r="D890" s="24" t="s">
        <v>1346</v>
      </c>
      <c r="E890" s="25">
        <v>883</v>
      </c>
      <c r="F890" s="24" t="s">
        <v>1901</v>
      </c>
      <c r="G890" s="24" t="s">
        <v>2149</v>
      </c>
      <c r="H890" s="1"/>
      <c r="I890" s="1"/>
      <c r="J890" s="29">
        <v>45371</v>
      </c>
      <c r="K890" s="1"/>
      <c r="L890" s="27"/>
      <c r="M890" s="27"/>
      <c r="N890" s="1">
        <v>3</v>
      </c>
      <c r="O890" s="61">
        <v>45526</v>
      </c>
      <c r="P890" s="1" t="s">
        <v>1616</v>
      </c>
      <c r="Q890" s="65" t="s">
        <v>1719</v>
      </c>
    </row>
    <row r="891" ht="49.05" customHeight="1" spans="2:17">
      <c r="B891" s="1">
        <v>890</v>
      </c>
      <c r="C891" s="14" t="s">
        <v>2150</v>
      </c>
      <c r="D891" s="24" t="s">
        <v>1346</v>
      </c>
      <c r="E891" s="25">
        <v>2311</v>
      </c>
      <c r="F891" s="24" t="s">
        <v>2146</v>
      </c>
      <c r="G891" s="24" t="s">
        <v>2151</v>
      </c>
      <c r="H891" s="1"/>
      <c r="I891" s="1"/>
      <c r="J891" s="29">
        <v>45240</v>
      </c>
      <c r="K891" s="1"/>
      <c r="L891" s="27"/>
      <c r="M891" s="27"/>
      <c r="N891" s="1">
        <v>3</v>
      </c>
      <c r="O891" s="61">
        <v>45526</v>
      </c>
      <c r="P891" s="1" t="s">
        <v>1616</v>
      </c>
      <c r="Q891" s="65" t="s">
        <v>1719</v>
      </c>
    </row>
    <row r="892" ht="51" customHeight="1" spans="2:17">
      <c r="B892" s="1">
        <v>891</v>
      </c>
      <c r="C892" s="24" t="s">
        <v>2152</v>
      </c>
      <c r="D892" s="24" t="s">
        <v>2153</v>
      </c>
      <c r="E892" s="25">
        <v>21388.8655</v>
      </c>
      <c r="F892" s="24" t="s">
        <v>2154</v>
      </c>
      <c r="G892" s="24" t="s">
        <v>2155</v>
      </c>
      <c r="H892" s="1" t="s">
        <v>708</v>
      </c>
      <c r="I892" s="1" t="s">
        <v>1692</v>
      </c>
      <c r="J892" s="29">
        <v>45428</v>
      </c>
      <c r="K892" s="1"/>
      <c r="L892" s="27"/>
      <c r="M892" s="27"/>
      <c r="N892" s="1">
        <v>2</v>
      </c>
      <c r="O892" s="61">
        <v>45526</v>
      </c>
      <c r="P892" s="1" t="s">
        <v>1616</v>
      </c>
      <c r="Q892" s="65" t="s">
        <v>2156</v>
      </c>
    </row>
    <row r="893" ht="61.05" customHeight="1" spans="2:17">
      <c r="B893" s="1">
        <v>892</v>
      </c>
      <c r="C893" s="24" t="s">
        <v>2157</v>
      </c>
      <c r="D893" s="24" t="s">
        <v>1281</v>
      </c>
      <c r="E893" s="33"/>
      <c r="F893" s="24" t="s">
        <v>2158</v>
      </c>
      <c r="G893" s="24" t="s">
        <v>2159</v>
      </c>
      <c r="H893" s="1" t="s">
        <v>708</v>
      </c>
      <c r="I893" s="1"/>
      <c r="J893" s="29">
        <v>45383</v>
      </c>
      <c r="K893" s="1">
        <v>145.2</v>
      </c>
      <c r="L893" s="27"/>
      <c r="M893" s="27"/>
      <c r="N893" s="1">
        <v>3</v>
      </c>
      <c r="O893" s="61">
        <v>45526</v>
      </c>
      <c r="P893" s="1" t="s">
        <v>1616</v>
      </c>
      <c r="Q893" s="65" t="s">
        <v>2160</v>
      </c>
    </row>
    <row r="894" ht="52" spans="2:17">
      <c r="B894" s="1">
        <v>893</v>
      </c>
      <c r="C894" s="24" t="s">
        <v>2161</v>
      </c>
      <c r="D894" s="24" t="s">
        <v>1368</v>
      </c>
      <c r="E894" s="25">
        <v>391000</v>
      </c>
      <c r="F894" s="24" t="s">
        <v>2162</v>
      </c>
      <c r="G894" s="24" t="s">
        <v>2163</v>
      </c>
      <c r="H894" s="1" t="s">
        <v>708</v>
      </c>
      <c r="I894" s="1" t="s">
        <v>2164</v>
      </c>
      <c r="J894" s="29">
        <v>45419</v>
      </c>
      <c r="K894" s="1"/>
      <c r="L894" s="27"/>
      <c r="M894" s="27"/>
      <c r="N894" s="1">
        <v>3</v>
      </c>
      <c r="O894" s="61">
        <v>45526</v>
      </c>
      <c r="P894" s="1" t="s">
        <v>1616</v>
      </c>
      <c r="Q894" s="65" t="s">
        <v>2035</v>
      </c>
    </row>
    <row r="895" ht="52" spans="2:17">
      <c r="B895" s="1">
        <v>894</v>
      </c>
      <c r="C895" s="24" t="s">
        <v>2165</v>
      </c>
      <c r="D895" s="24" t="s">
        <v>1683</v>
      </c>
      <c r="E895" s="33"/>
      <c r="F895" s="24" t="s">
        <v>2166</v>
      </c>
      <c r="G895" s="24" t="s">
        <v>2167</v>
      </c>
      <c r="H895" s="1"/>
      <c r="I895" s="1"/>
      <c r="J895" s="29">
        <v>45432</v>
      </c>
      <c r="K895" s="1">
        <v>19.3</v>
      </c>
      <c r="L895" s="27"/>
      <c r="M895" s="27"/>
      <c r="N895" s="1">
        <v>2</v>
      </c>
      <c r="O895" s="61">
        <v>45526</v>
      </c>
      <c r="P895" s="1" t="s">
        <v>1616</v>
      </c>
      <c r="Q895" s="65" t="s">
        <v>1684</v>
      </c>
    </row>
    <row r="896" ht="26" spans="2:17">
      <c r="B896" s="1">
        <v>895</v>
      </c>
      <c r="C896" s="24" t="s">
        <v>2168</v>
      </c>
      <c r="D896" s="24" t="s">
        <v>1281</v>
      </c>
      <c r="E896" s="33"/>
      <c r="F896" s="24" t="s">
        <v>1901</v>
      </c>
      <c r="G896" s="24" t="s">
        <v>2169</v>
      </c>
      <c r="H896" s="1"/>
      <c r="I896" s="1"/>
      <c r="J896" s="29">
        <v>45418</v>
      </c>
      <c r="K896" s="1"/>
      <c r="L896" s="27"/>
      <c r="M896" s="27"/>
      <c r="N896" s="1">
        <v>2</v>
      </c>
      <c r="O896" s="61">
        <v>45526</v>
      </c>
      <c r="P896" s="1" t="s">
        <v>1616</v>
      </c>
      <c r="Q896" s="65" t="s">
        <v>2160</v>
      </c>
    </row>
    <row r="897" ht="26" spans="2:17">
      <c r="B897" s="1">
        <v>896</v>
      </c>
      <c r="C897" s="24" t="s">
        <v>2170</v>
      </c>
      <c r="D897" s="24" t="s">
        <v>2171</v>
      </c>
      <c r="E897" s="33"/>
      <c r="F897" s="24" t="s">
        <v>2162</v>
      </c>
      <c r="G897" s="24" t="s">
        <v>2172</v>
      </c>
      <c r="H897" s="1"/>
      <c r="I897" s="1"/>
      <c r="J897" s="29">
        <v>45406</v>
      </c>
      <c r="K897" s="1"/>
      <c r="L897" s="27"/>
      <c r="M897" s="27"/>
      <c r="N897" s="1">
        <v>1</v>
      </c>
      <c r="O897" s="61">
        <v>45526</v>
      </c>
      <c r="P897" s="1" t="s">
        <v>1616</v>
      </c>
      <c r="Q897" s="65" t="s">
        <v>2173</v>
      </c>
    </row>
    <row r="898" ht="26" spans="2:17">
      <c r="B898" s="1">
        <v>897</v>
      </c>
      <c r="C898" s="24" t="s">
        <v>2174</v>
      </c>
      <c r="D898" s="24" t="s">
        <v>2171</v>
      </c>
      <c r="E898" s="25">
        <v>330000</v>
      </c>
      <c r="F898" s="24" t="s">
        <v>2162</v>
      </c>
      <c r="G898" s="24" t="s">
        <v>2172</v>
      </c>
      <c r="H898" s="1" t="s">
        <v>708</v>
      </c>
      <c r="I898" s="1" t="s">
        <v>857</v>
      </c>
      <c r="J898" s="29">
        <v>44155</v>
      </c>
      <c r="K898" s="1"/>
      <c r="L898" s="27"/>
      <c r="M898" s="27"/>
      <c r="N898" s="1">
        <v>2</v>
      </c>
      <c r="O898" s="61">
        <v>45526</v>
      </c>
      <c r="P898" s="1" t="s">
        <v>1616</v>
      </c>
      <c r="Q898" s="65" t="s">
        <v>2173</v>
      </c>
    </row>
    <row r="899" ht="26" spans="2:17">
      <c r="B899" s="5">
        <v>898</v>
      </c>
      <c r="C899" s="24" t="s">
        <v>2175</v>
      </c>
      <c r="D899" s="24" t="s">
        <v>842</v>
      </c>
      <c r="E899" s="33"/>
      <c r="F899" s="24" t="s">
        <v>2176</v>
      </c>
      <c r="G899" s="24" t="s">
        <v>2177</v>
      </c>
      <c r="H899" s="1"/>
      <c r="I899" s="1"/>
      <c r="J899" s="29">
        <v>45401</v>
      </c>
      <c r="K899" s="1"/>
      <c r="L899" s="27"/>
      <c r="M899" s="27"/>
      <c r="N899" s="1">
        <v>2</v>
      </c>
      <c r="O899" s="61">
        <v>45526</v>
      </c>
      <c r="P899" s="1" t="s">
        <v>1616</v>
      </c>
      <c r="Q899" s="65" t="s">
        <v>1955</v>
      </c>
    </row>
    <row r="900" ht="39" spans="2:17">
      <c r="B900" s="1">
        <v>899</v>
      </c>
      <c r="C900" s="14" t="s">
        <v>2178</v>
      </c>
      <c r="D900" s="24" t="s">
        <v>1346</v>
      </c>
      <c r="E900" s="25">
        <v>244</v>
      </c>
      <c r="F900" s="24" t="s">
        <v>1901</v>
      </c>
      <c r="G900" s="24" t="s">
        <v>2179</v>
      </c>
      <c r="H900" s="1"/>
      <c r="I900" s="1"/>
      <c r="J900" s="29">
        <v>45302</v>
      </c>
      <c r="K900" s="1"/>
      <c r="L900" s="27"/>
      <c r="M900" s="27"/>
      <c r="N900" s="1">
        <v>2</v>
      </c>
      <c r="O900" s="61">
        <v>45526</v>
      </c>
      <c r="P900" s="1" t="s">
        <v>1616</v>
      </c>
      <c r="Q900" s="65" t="s">
        <v>1719</v>
      </c>
    </row>
    <row r="901" ht="26" spans="2:17">
      <c r="B901" s="1">
        <v>900</v>
      </c>
      <c r="C901" s="14" t="s">
        <v>2180</v>
      </c>
      <c r="D901" s="24" t="s">
        <v>1346</v>
      </c>
      <c r="E901" s="25">
        <v>88.32</v>
      </c>
      <c r="F901" s="24" t="s">
        <v>2146</v>
      </c>
      <c r="G901" s="24" t="s">
        <v>2181</v>
      </c>
      <c r="H901" s="1"/>
      <c r="I901" s="1"/>
      <c r="J901" s="29">
        <v>45300</v>
      </c>
      <c r="K901" s="1"/>
      <c r="L901" s="27"/>
      <c r="M901" s="27"/>
      <c r="N901" s="1">
        <v>2</v>
      </c>
      <c r="O901" s="61">
        <v>45526</v>
      </c>
      <c r="P901" s="1" t="s">
        <v>1616</v>
      </c>
      <c r="Q901" s="65" t="s">
        <v>1719</v>
      </c>
    </row>
    <row r="902" ht="26" spans="2:17">
      <c r="B902" s="1">
        <v>901</v>
      </c>
      <c r="C902" s="24" t="s">
        <v>2182</v>
      </c>
      <c r="D902" s="24" t="s">
        <v>2183</v>
      </c>
      <c r="E902" s="25">
        <v>652800</v>
      </c>
      <c r="F902" s="24" t="s">
        <v>954</v>
      </c>
      <c r="G902" s="24" t="s">
        <v>2184</v>
      </c>
      <c r="H902" s="1"/>
      <c r="I902" s="1"/>
      <c r="J902" s="29">
        <v>45559</v>
      </c>
      <c r="K902" s="1">
        <v>133</v>
      </c>
      <c r="L902" s="27"/>
      <c r="M902" s="27"/>
      <c r="N902" s="1">
        <v>2</v>
      </c>
      <c r="O902" s="61">
        <v>45617</v>
      </c>
      <c r="P902" s="1" t="s">
        <v>1949</v>
      </c>
      <c r="Q902" s="65" t="s">
        <v>2185</v>
      </c>
    </row>
    <row r="903" ht="26" spans="2:17">
      <c r="B903" s="1">
        <v>902</v>
      </c>
      <c r="C903" s="24" t="s">
        <v>2186</v>
      </c>
      <c r="D903" s="24" t="s">
        <v>2105</v>
      </c>
      <c r="E903" s="25">
        <v>2010000</v>
      </c>
      <c r="F903" s="24" t="s">
        <v>954</v>
      </c>
      <c r="G903" s="24" t="s">
        <v>2187</v>
      </c>
      <c r="H903" s="1" t="s">
        <v>721</v>
      </c>
      <c r="I903" s="1" t="s">
        <v>813</v>
      </c>
      <c r="J903" s="29">
        <v>45520</v>
      </c>
      <c r="K903" s="1">
        <v>98.6</v>
      </c>
      <c r="L903" s="27"/>
      <c r="M903" s="27"/>
      <c r="N903" s="1">
        <v>3</v>
      </c>
      <c r="O903" s="61">
        <v>45617</v>
      </c>
      <c r="P903" s="1" t="s">
        <v>1949</v>
      </c>
      <c r="Q903" s="65" t="s">
        <v>2108</v>
      </c>
    </row>
    <row r="904" ht="26" spans="2:17">
      <c r="B904" s="1">
        <v>903</v>
      </c>
      <c r="C904" s="24" t="s">
        <v>2188</v>
      </c>
      <c r="D904" s="24" t="s">
        <v>2189</v>
      </c>
      <c r="E904" s="25">
        <v>98</v>
      </c>
      <c r="F904" s="24" t="s">
        <v>2146</v>
      </c>
      <c r="G904" s="24" t="s">
        <v>2190</v>
      </c>
      <c r="H904" s="1" t="s">
        <v>2191</v>
      </c>
      <c r="I904" s="1"/>
      <c r="J904" s="29">
        <v>45200</v>
      </c>
      <c r="K904" s="1"/>
      <c r="L904" s="27"/>
      <c r="M904" s="27"/>
      <c r="N904" s="1">
        <v>2</v>
      </c>
      <c r="O904" s="61">
        <v>45617</v>
      </c>
      <c r="P904" s="1" t="s">
        <v>1957</v>
      </c>
      <c r="Q904" s="65" t="s">
        <v>2192</v>
      </c>
    </row>
    <row r="905" ht="26" spans="2:17">
      <c r="B905" s="1">
        <v>904</v>
      </c>
      <c r="C905" s="24" t="s">
        <v>2193</v>
      </c>
      <c r="D905" s="24" t="s">
        <v>2189</v>
      </c>
      <c r="E905" s="25">
        <v>91.78</v>
      </c>
      <c r="F905" s="24" t="s">
        <v>1662</v>
      </c>
      <c r="G905" s="24" t="s">
        <v>2194</v>
      </c>
      <c r="H905" s="1" t="s">
        <v>2191</v>
      </c>
      <c r="I905" s="1"/>
      <c r="J905" s="29">
        <v>45170</v>
      </c>
      <c r="K905" s="1"/>
      <c r="L905" s="27"/>
      <c r="M905" s="27"/>
      <c r="N905" s="1">
        <v>3</v>
      </c>
      <c r="O905" s="61">
        <v>45617</v>
      </c>
      <c r="P905" s="1" t="s">
        <v>1957</v>
      </c>
      <c r="Q905" s="65" t="s">
        <v>2192</v>
      </c>
    </row>
    <row r="906" ht="26" spans="2:17">
      <c r="B906" s="1">
        <v>905</v>
      </c>
      <c r="C906" s="24" t="s">
        <v>2195</v>
      </c>
      <c r="D906" s="24" t="s">
        <v>2189</v>
      </c>
      <c r="E906" s="25">
        <v>530</v>
      </c>
      <c r="F906" s="24" t="s">
        <v>2146</v>
      </c>
      <c r="G906" s="24" t="s">
        <v>2196</v>
      </c>
      <c r="H906" s="1" t="s">
        <v>2191</v>
      </c>
      <c r="I906" s="1"/>
      <c r="J906" s="29">
        <v>45170</v>
      </c>
      <c r="K906" s="1"/>
      <c r="L906" s="27"/>
      <c r="M906" s="27"/>
      <c r="N906" s="1">
        <v>3</v>
      </c>
      <c r="O906" s="61">
        <v>45617</v>
      </c>
      <c r="P906" s="1" t="s">
        <v>1957</v>
      </c>
      <c r="Q906" s="65" t="s">
        <v>2192</v>
      </c>
    </row>
    <row r="907" ht="26" spans="2:17">
      <c r="B907" s="1">
        <v>906</v>
      </c>
      <c r="C907" s="24" t="s">
        <v>2197</v>
      </c>
      <c r="D907" s="24" t="s">
        <v>1945</v>
      </c>
      <c r="E907" s="25">
        <v>369.5</v>
      </c>
      <c r="F907" s="24" t="s">
        <v>2146</v>
      </c>
      <c r="G907" s="24" t="s">
        <v>2198</v>
      </c>
      <c r="H907" s="1" t="s">
        <v>2191</v>
      </c>
      <c r="I907" s="1"/>
      <c r="J907" s="29">
        <v>45108</v>
      </c>
      <c r="K907" s="1"/>
      <c r="L907" s="27"/>
      <c r="M907" s="27"/>
      <c r="N907" s="1">
        <v>2</v>
      </c>
      <c r="O907" s="61">
        <v>45617</v>
      </c>
      <c r="P907" s="1" t="s">
        <v>1957</v>
      </c>
      <c r="Q907" s="65" t="s">
        <v>1946</v>
      </c>
    </row>
    <row r="908" ht="26" spans="2:17">
      <c r="B908" s="1">
        <v>907</v>
      </c>
      <c r="C908" s="24" t="s">
        <v>2199</v>
      </c>
      <c r="D908" s="24" t="s">
        <v>2200</v>
      </c>
      <c r="E908" s="25">
        <v>86</v>
      </c>
      <c r="F908" s="24" t="s">
        <v>1662</v>
      </c>
      <c r="G908" s="24" t="s">
        <v>2201</v>
      </c>
      <c r="H908" s="1" t="s">
        <v>2191</v>
      </c>
      <c r="I908" s="1"/>
      <c r="J908" s="29">
        <v>45108</v>
      </c>
      <c r="K908" s="1"/>
      <c r="L908" s="27"/>
      <c r="M908" s="27"/>
      <c r="N908" s="1">
        <v>2</v>
      </c>
      <c r="O908" s="61">
        <v>45617</v>
      </c>
      <c r="P908" s="1" t="s">
        <v>1957</v>
      </c>
      <c r="Q908" s="65" t="s">
        <v>2202</v>
      </c>
    </row>
    <row r="909" ht="26" spans="2:17">
      <c r="B909" s="1">
        <v>908</v>
      </c>
      <c r="C909" s="24" t="s">
        <v>2203</v>
      </c>
      <c r="D909" s="24" t="s">
        <v>2204</v>
      </c>
      <c r="E909" s="25">
        <v>146</v>
      </c>
      <c r="F909" s="24" t="s">
        <v>1901</v>
      </c>
      <c r="G909" s="24" t="s">
        <v>2205</v>
      </c>
      <c r="H909" s="1" t="s">
        <v>2191</v>
      </c>
      <c r="I909" s="1"/>
      <c r="J909" s="29">
        <v>45047</v>
      </c>
      <c r="K909" s="1"/>
      <c r="L909" s="27"/>
      <c r="M909" s="27"/>
      <c r="N909" s="1">
        <v>2</v>
      </c>
      <c r="O909" s="61">
        <v>45617</v>
      </c>
      <c r="P909" s="1" t="s">
        <v>1957</v>
      </c>
      <c r="Q909" s="65" t="s">
        <v>2206</v>
      </c>
    </row>
    <row r="910" ht="26" spans="2:17">
      <c r="B910" s="1">
        <v>909</v>
      </c>
      <c r="C910" s="24" t="s">
        <v>2207</v>
      </c>
      <c r="D910" s="24" t="s">
        <v>2208</v>
      </c>
      <c r="E910" s="33"/>
      <c r="F910" s="24" t="s">
        <v>1901</v>
      </c>
      <c r="G910" s="24" t="s">
        <v>2209</v>
      </c>
      <c r="H910" s="1" t="s">
        <v>1457</v>
      </c>
      <c r="I910" s="1"/>
      <c r="J910" s="29">
        <v>44986</v>
      </c>
      <c r="K910" s="1"/>
      <c r="L910" s="27"/>
      <c r="M910" s="27"/>
      <c r="N910" s="1">
        <v>2</v>
      </c>
      <c r="O910" s="61">
        <v>45617</v>
      </c>
      <c r="P910" s="1" t="s">
        <v>1957</v>
      </c>
      <c r="Q910" s="65" t="s">
        <v>2210</v>
      </c>
    </row>
    <row r="911" ht="26" spans="2:17">
      <c r="B911" s="1">
        <v>910</v>
      </c>
      <c r="C911" s="24" t="s">
        <v>2211</v>
      </c>
      <c r="D911" s="24" t="s">
        <v>1281</v>
      </c>
      <c r="E911" s="33"/>
      <c r="F911" s="24" t="s">
        <v>2212</v>
      </c>
      <c r="G911" s="24" t="s">
        <v>2213</v>
      </c>
      <c r="H911" s="1" t="s">
        <v>708</v>
      </c>
      <c r="I911" s="1" t="s">
        <v>1692</v>
      </c>
      <c r="J911" s="29">
        <v>45587</v>
      </c>
      <c r="K911" s="1">
        <v>42.5</v>
      </c>
      <c r="L911" s="27"/>
      <c r="M911" s="27"/>
      <c r="N911" s="1">
        <v>3</v>
      </c>
      <c r="O911" s="61">
        <v>45631</v>
      </c>
      <c r="P911" s="1" t="s">
        <v>1957</v>
      </c>
      <c r="Q911" s="65" t="s">
        <v>2160</v>
      </c>
    </row>
    <row r="912" ht="26" spans="2:17">
      <c r="B912" s="1">
        <v>911</v>
      </c>
      <c r="C912" s="24" t="s">
        <v>2214</v>
      </c>
      <c r="D912" s="24" t="s">
        <v>1281</v>
      </c>
      <c r="E912" s="33"/>
      <c r="F912" s="24" t="s">
        <v>2212</v>
      </c>
      <c r="G912" s="24" t="s">
        <v>2215</v>
      </c>
      <c r="H912" s="1" t="s">
        <v>708</v>
      </c>
      <c r="I912" s="1" t="s">
        <v>1692</v>
      </c>
      <c r="J912" s="29">
        <v>45593</v>
      </c>
      <c r="K912" s="1">
        <v>130</v>
      </c>
      <c r="L912" s="27"/>
      <c r="M912" s="27"/>
      <c r="N912" s="1">
        <v>3</v>
      </c>
      <c r="O912" s="61">
        <v>45631</v>
      </c>
      <c r="P912" s="1" t="s">
        <v>1957</v>
      </c>
      <c r="Q912" s="65" t="s">
        <v>2160</v>
      </c>
    </row>
    <row r="913" ht="39" spans="2:17">
      <c r="B913" s="1">
        <v>912</v>
      </c>
      <c r="C913" s="24" t="s">
        <v>2216</v>
      </c>
      <c r="D913" s="24" t="s">
        <v>2171</v>
      </c>
      <c r="E913" s="25">
        <v>360000</v>
      </c>
      <c r="F913" s="24" t="s">
        <v>2217</v>
      </c>
      <c r="G913" s="24" t="s">
        <v>2218</v>
      </c>
      <c r="H913" s="1" t="s">
        <v>708</v>
      </c>
      <c r="I913" s="1" t="s">
        <v>1692</v>
      </c>
      <c r="J913" s="29">
        <v>45413</v>
      </c>
      <c r="K913" s="1">
        <v>89.9</v>
      </c>
      <c r="L913" s="27"/>
      <c r="M913" s="27"/>
      <c r="N913" s="1">
        <v>2</v>
      </c>
      <c r="O913" s="61">
        <v>45632</v>
      </c>
      <c r="P913" s="1" t="s">
        <v>1616</v>
      </c>
      <c r="Q913" s="65" t="s">
        <v>2173</v>
      </c>
    </row>
    <row r="914" ht="42" customHeight="1" spans="2:17">
      <c r="B914" s="1">
        <v>913</v>
      </c>
      <c r="C914" s="24" t="s">
        <v>2219</v>
      </c>
      <c r="D914" s="24" t="s">
        <v>2220</v>
      </c>
      <c r="E914" s="33"/>
      <c r="F914" s="24" t="s">
        <v>2221</v>
      </c>
      <c r="G914" s="24" t="s">
        <v>2222</v>
      </c>
      <c r="H914" s="1" t="s">
        <v>1692</v>
      </c>
      <c r="I914" s="1"/>
      <c r="J914" s="29">
        <v>45596</v>
      </c>
      <c r="K914" s="1">
        <v>48</v>
      </c>
      <c r="L914" s="27"/>
      <c r="M914" s="27"/>
      <c r="N914" s="1">
        <v>2</v>
      </c>
      <c r="O914" s="61">
        <v>45632</v>
      </c>
      <c r="P914" s="1" t="s">
        <v>1616</v>
      </c>
      <c r="Q914" s="65" t="s">
        <v>2223</v>
      </c>
    </row>
    <row r="915" ht="26" spans="2:17">
      <c r="B915" s="1">
        <v>914</v>
      </c>
      <c r="C915" s="24" t="s">
        <v>2224</v>
      </c>
      <c r="D915" s="24" t="s">
        <v>1346</v>
      </c>
      <c r="E915" s="25">
        <v>43</v>
      </c>
      <c r="F915" s="24" t="s">
        <v>1901</v>
      </c>
      <c r="G915" s="24" t="s">
        <v>2225</v>
      </c>
      <c r="H915" s="1"/>
      <c r="I915" s="1"/>
      <c r="J915" s="29">
        <v>45493</v>
      </c>
      <c r="K915" s="1"/>
      <c r="L915" s="27"/>
      <c r="M915" s="27"/>
      <c r="N915" s="1">
        <v>2</v>
      </c>
      <c r="O915" s="61">
        <v>45632</v>
      </c>
      <c r="P915" s="1" t="s">
        <v>1616</v>
      </c>
      <c r="Q915" s="65" t="s">
        <v>1719</v>
      </c>
    </row>
    <row r="916" ht="26" spans="2:17">
      <c r="B916" s="1">
        <v>915</v>
      </c>
      <c r="C916" s="24" t="s">
        <v>2226</v>
      </c>
      <c r="D916" s="24" t="s">
        <v>1346</v>
      </c>
      <c r="E916" s="84">
        <v>48.585</v>
      </c>
      <c r="F916" s="6" t="s">
        <v>2146</v>
      </c>
      <c r="G916" s="24" t="s">
        <v>2227</v>
      </c>
      <c r="H916" s="1"/>
      <c r="I916" s="1"/>
      <c r="J916" s="29">
        <v>45493</v>
      </c>
      <c r="K916" s="1"/>
      <c r="L916" s="27"/>
      <c r="M916" s="27"/>
      <c r="N916" s="1">
        <v>2</v>
      </c>
      <c r="O916" s="61">
        <v>45632</v>
      </c>
      <c r="P916" s="1" t="s">
        <v>1616</v>
      </c>
      <c r="Q916" s="65" t="s">
        <v>1719</v>
      </c>
    </row>
    <row r="917" ht="39" spans="2:17">
      <c r="B917" s="1">
        <v>916</v>
      </c>
      <c r="C917" s="14" t="s">
        <v>2228</v>
      </c>
      <c r="D917" s="24" t="s">
        <v>1029</v>
      </c>
      <c r="E917" s="25">
        <v>3200000</v>
      </c>
      <c r="F917" s="24" t="s">
        <v>2229</v>
      </c>
      <c r="G917" s="24" t="s">
        <v>2230</v>
      </c>
      <c r="H917" s="1" t="s">
        <v>1067</v>
      </c>
      <c r="I917" s="1"/>
      <c r="J917" s="29">
        <v>45525</v>
      </c>
      <c r="K917" s="1">
        <v>59.5</v>
      </c>
      <c r="L917" s="27"/>
      <c r="M917" s="27"/>
      <c r="N917" s="1">
        <v>2</v>
      </c>
      <c r="O917" s="61">
        <v>45636</v>
      </c>
      <c r="P917" s="1" t="s">
        <v>1693</v>
      </c>
      <c r="Q917" s="65" t="s">
        <v>1696</v>
      </c>
    </row>
    <row r="918" ht="39" spans="2:17">
      <c r="B918" s="1">
        <v>917</v>
      </c>
      <c r="C918" s="24" t="s">
        <v>2231</v>
      </c>
      <c r="D918" s="24" t="s">
        <v>1029</v>
      </c>
      <c r="E918" s="25">
        <v>3200000</v>
      </c>
      <c r="F918" s="24" t="s">
        <v>1832</v>
      </c>
      <c r="G918" s="24" t="s">
        <v>2232</v>
      </c>
      <c r="H918" s="1" t="s">
        <v>1067</v>
      </c>
      <c r="I918" s="1"/>
      <c r="J918" s="29">
        <v>45525</v>
      </c>
      <c r="K918" s="1">
        <v>19.5</v>
      </c>
      <c r="L918" s="27"/>
      <c r="M918" s="27"/>
      <c r="N918" s="1">
        <v>1</v>
      </c>
      <c r="O918" s="61">
        <v>45636</v>
      </c>
      <c r="P918" s="1" t="s">
        <v>1693</v>
      </c>
      <c r="Q918" s="65" t="s">
        <v>1696</v>
      </c>
    </row>
    <row r="919" ht="26" spans="2:17">
      <c r="B919" s="1">
        <v>918</v>
      </c>
      <c r="C919" s="24" t="s">
        <v>1724</v>
      </c>
      <c r="D919" s="24" t="s">
        <v>1725</v>
      </c>
      <c r="E919" s="33">
        <v>4331600</v>
      </c>
      <c r="F919" s="24" t="s">
        <v>1173</v>
      </c>
      <c r="G919" s="24" t="s">
        <v>1726</v>
      </c>
      <c r="H919" s="1" t="s">
        <v>884</v>
      </c>
      <c r="I919" s="1"/>
      <c r="J919" s="29">
        <v>45510</v>
      </c>
      <c r="K919" s="1"/>
      <c r="L919" s="27"/>
      <c r="M919" s="27"/>
      <c r="N919" s="1">
        <v>2</v>
      </c>
      <c r="O919" s="61">
        <v>45638</v>
      </c>
      <c r="P919" s="1" t="s">
        <v>1693</v>
      </c>
      <c r="Q919" s="65" t="s">
        <v>1727</v>
      </c>
    </row>
    <row r="920" ht="26" spans="2:17">
      <c r="B920" s="1">
        <v>919</v>
      </c>
      <c r="C920" s="24" t="s">
        <v>2233</v>
      </c>
      <c r="D920" s="24" t="s">
        <v>1029</v>
      </c>
      <c r="E920" s="33"/>
      <c r="F920" s="24" t="s">
        <v>2234</v>
      </c>
      <c r="G920" s="24" t="s">
        <v>2235</v>
      </c>
      <c r="H920" s="1" t="s">
        <v>1067</v>
      </c>
      <c r="I920" s="1"/>
      <c r="J920" s="29">
        <v>45391</v>
      </c>
      <c r="K920" s="1">
        <v>11.8</v>
      </c>
      <c r="L920" s="27"/>
      <c r="M920" s="27"/>
      <c r="N920" s="1">
        <v>2</v>
      </c>
      <c r="O920" s="61">
        <v>45638</v>
      </c>
      <c r="P920" s="1" t="s">
        <v>1693</v>
      </c>
      <c r="Q920" s="65" t="s">
        <v>1696</v>
      </c>
    </row>
    <row r="921" ht="52" spans="2:17">
      <c r="B921" s="1">
        <v>920</v>
      </c>
      <c r="C921" s="24" t="s">
        <v>2236</v>
      </c>
      <c r="D921" s="24" t="s">
        <v>1061</v>
      </c>
      <c r="E921" s="33">
        <v>179495</v>
      </c>
      <c r="F921" s="24" t="s">
        <v>2237</v>
      </c>
      <c r="G921" s="24" t="s">
        <v>2238</v>
      </c>
      <c r="H921" s="1" t="s">
        <v>708</v>
      </c>
      <c r="I921" s="1" t="s">
        <v>1692</v>
      </c>
      <c r="J921" s="29">
        <v>45528</v>
      </c>
      <c r="K921" s="1"/>
      <c r="L921" s="27"/>
      <c r="M921" s="27"/>
      <c r="N921" s="1">
        <v>2</v>
      </c>
      <c r="O921" s="61">
        <v>45638</v>
      </c>
      <c r="P921" s="1" t="s">
        <v>1957</v>
      </c>
      <c r="Q921" s="65" t="s">
        <v>2239</v>
      </c>
    </row>
    <row r="922" ht="35.4" customHeight="1" spans="2:17">
      <c r="B922" s="1">
        <v>921</v>
      </c>
      <c r="C922" s="24" t="s">
        <v>2240</v>
      </c>
      <c r="D922" s="24" t="s">
        <v>1029</v>
      </c>
      <c r="E922" s="33"/>
      <c r="F922" s="24" t="s">
        <v>2229</v>
      </c>
      <c r="G922" s="24" t="s">
        <v>2230</v>
      </c>
      <c r="H922" s="1" t="s">
        <v>1067</v>
      </c>
      <c r="I922" s="1"/>
      <c r="J922" s="29">
        <v>45589</v>
      </c>
      <c r="K922" s="1">
        <v>44.6</v>
      </c>
      <c r="L922" s="27"/>
      <c r="M922" s="27"/>
      <c r="N922" s="1">
        <v>2</v>
      </c>
      <c r="O922" s="61">
        <v>45299</v>
      </c>
      <c r="P922" s="1" t="s">
        <v>1693</v>
      </c>
      <c r="Q922" s="65" t="s">
        <v>1696</v>
      </c>
    </row>
    <row r="923" ht="26" spans="2:17">
      <c r="B923" s="1">
        <v>922</v>
      </c>
      <c r="C923" s="24" t="s">
        <v>2241</v>
      </c>
      <c r="D923" s="24" t="s">
        <v>2242</v>
      </c>
      <c r="E923" s="85"/>
      <c r="F923" s="24" t="s">
        <v>1901</v>
      </c>
      <c r="G923" s="24" t="s">
        <v>2243</v>
      </c>
      <c r="H923" s="1" t="s">
        <v>1301</v>
      </c>
      <c r="I923" s="1"/>
      <c r="J923" s="29">
        <v>45601</v>
      </c>
      <c r="K923" s="1">
        <v>4.38</v>
      </c>
      <c r="L923" s="27"/>
      <c r="M923" s="27"/>
      <c r="N923" s="1">
        <v>2</v>
      </c>
      <c r="O923" s="61">
        <v>45670</v>
      </c>
      <c r="P923" s="1" t="s">
        <v>2244</v>
      </c>
      <c r="Q923" s="65" t="s">
        <v>2245</v>
      </c>
    </row>
    <row r="924" ht="26" spans="2:17">
      <c r="B924" s="1">
        <v>923</v>
      </c>
      <c r="C924" s="24" t="s">
        <v>2246</v>
      </c>
      <c r="D924" s="24" t="s">
        <v>1346</v>
      </c>
      <c r="E924" s="84">
        <v>40.15</v>
      </c>
      <c r="F924" s="6" t="s">
        <v>2146</v>
      </c>
      <c r="G924" s="24" t="s">
        <v>2247</v>
      </c>
      <c r="H924" s="1"/>
      <c r="I924" s="1"/>
      <c r="J924" s="29">
        <v>45539</v>
      </c>
      <c r="K924" s="1"/>
      <c r="L924" s="27"/>
      <c r="M924" s="27"/>
      <c r="N924" s="1">
        <v>3</v>
      </c>
      <c r="O924" s="61">
        <v>45696</v>
      </c>
      <c r="P924" s="1" t="s">
        <v>1623</v>
      </c>
      <c r="Q924" s="65" t="s">
        <v>1719</v>
      </c>
    </row>
    <row r="925" ht="26" spans="2:17">
      <c r="B925" s="1">
        <v>924</v>
      </c>
      <c r="C925" s="24" t="s">
        <v>2248</v>
      </c>
      <c r="D925" s="24" t="s">
        <v>1346</v>
      </c>
      <c r="E925" s="25">
        <v>24</v>
      </c>
      <c r="F925" s="24" t="s">
        <v>1901</v>
      </c>
      <c r="G925" s="24" t="s">
        <v>2249</v>
      </c>
      <c r="H925" s="1"/>
      <c r="I925" s="1"/>
      <c r="J925" s="29">
        <v>45562</v>
      </c>
      <c r="K925" s="1"/>
      <c r="L925" s="27"/>
      <c r="M925" s="27"/>
      <c r="N925" s="1">
        <v>3</v>
      </c>
      <c r="O925" s="61">
        <v>45696</v>
      </c>
      <c r="P925" s="1" t="s">
        <v>1623</v>
      </c>
      <c r="Q925" s="65" t="s">
        <v>1719</v>
      </c>
    </row>
    <row r="926" ht="26" spans="2:17">
      <c r="B926" s="1">
        <v>925</v>
      </c>
      <c r="C926" s="24" t="s">
        <v>2250</v>
      </c>
      <c r="D926" s="24" t="s">
        <v>1346</v>
      </c>
      <c r="E926" s="25">
        <v>22</v>
      </c>
      <c r="F926" s="24" t="s">
        <v>1901</v>
      </c>
      <c r="G926" s="24" t="s">
        <v>2251</v>
      </c>
      <c r="H926" s="1"/>
      <c r="I926" s="1"/>
      <c r="J926" s="29">
        <v>45555</v>
      </c>
      <c r="K926" s="1"/>
      <c r="L926" s="27"/>
      <c r="M926" s="27"/>
      <c r="N926" s="1">
        <v>3</v>
      </c>
      <c r="O926" s="61">
        <v>45697</v>
      </c>
      <c r="P926" s="1" t="s">
        <v>1623</v>
      </c>
      <c r="Q926" s="65" t="s">
        <v>1719</v>
      </c>
    </row>
    <row r="927" ht="26" spans="2:17">
      <c r="B927" s="1">
        <v>926</v>
      </c>
      <c r="C927" s="24" t="s">
        <v>2252</v>
      </c>
      <c r="D927" s="24" t="s">
        <v>1346</v>
      </c>
      <c r="E927" s="84">
        <v>126</v>
      </c>
      <c r="F927" s="6" t="s">
        <v>2146</v>
      </c>
      <c r="G927" s="24" t="s">
        <v>2253</v>
      </c>
      <c r="H927" s="1"/>
      <c r="I927" s="1"/>
      <c r="J927" s="29">
        <v>45576</v>
      </c>
      <c r="K927" s="1"/>
      <c r="L927" s="27"/>
      <c r="M927" s="27"/>
      <c r="N927" s="1">
        <v>3</v>
      </c>
      <c r="O927" s="61">
        <v>45697</v>
      </c>
      <c r="P927" s="1" t="s">
        <v>1623</v>
      </c>
      <c r="Q927" s="65" t="s">
        <v>1719</v>
      </c>
    </row>
    <row r="928" ht="26" spans="2:17">
      <c r="B928" s="1">
        <v>927</v>
      </c>
      <c r="C928" s="24" t="s">
        <v>2254</v>
      </c>
      <c r="D928" s="24" t="s">
        <v>1346</v>
      </c>
      <c r="E928" s="25">
        <v>14.9347</v>
      </c>
      <c r="F928" s="24" t="s">
        <v>1901</v>
      </c>
      <c r="G928" s="24" t="s">
        <v>2255</v>
      </c>
      <c r="H928" s="1"/>
      <c r="I928" s="1"/>
      <c r="J928" s="29">
        <v>45598</v>
      </c>
      <c r="K928" s="1"/>
      <c r="L928" s="27"/>
      <c r="M928" s="27"/>
      <c r="N928" s="1">
        <v>3</v>
      </c>
      <c r="O928" s="61">
        <v>45697</v>
      </c>
      <c r="P928" s="1" t="s">
        <v>1623</v>
      </c>
      <c r="Q928" s="65" t="s">
        <v>1719</v>
      </c>
    </row>
    <row r="929" ht="26" spans="2:17">
      <c r="B929" s="1">
        <v>928</v>
      </c>
      <c r="C929" s="24" t="s">
        <v>2256</v>
      </c>
      <c r="D929" s="24" t="s">
        <v>1346</v>
      </c>
      <c r="E929" s="84">
        <v>60.0213</v>
      </c>
      <c r="F929" s="6" t="s">
        <v>2146</v>
      </c>
      <c r="G929" s="24" t="s">
        <v>2257</v>
      </c>
      <c r="H929" s="1"/>
      <c r="I929" s="1"/>
      <c r="J929" s="29">
        <v>45598</v>
      </c>
      <c r="K929" s="1"/>
      <c r="L929" s="27"/>
      <c r="M929" s="27"/>
      <c r="N929" s="1">
        <v>3</v>
      </c>
      <c r="O929" s="61">
        <v>45697</v>
      </c>
      <c r="P929" s="1" t="s">
        <v>1623</v>
      </c>
      <c r="Q929" s="65" t="s">
        <v>1719</v>
      </c>
    </row>
    <row r="930" ht="26" spans="2:17">
      <c r="B930" s="1">
        <v>929</v>
      </c>
      <c r="C930" s="24" t="s">
        <v>2258</v>
      </c>
      <c r="D930" s="24" t="s">
        <v>1346</v>
      </c>
      <c r="E930" s="25">
        <v>75</v>
      </c>
      <c r="F930" s="24" t="s">
        <v>2146</v>
      </c>
      <c r="G930" s="24" t="s">
        <v>2259</v>
      </c>
      <c r="H930" s="1"/>
      <c r="I930" s="1"/>
      <c r="J930" s="29">
        <v>45629</v>
      </c>
      <c r="K930" s="1"/>
      <c r="L930" s="27"/>
      <c r="M930" s="27"/>
      <c r="N930" s="1">
        <v>3</v>
      </c>
      <c r="O930" s="61">
        <v>45697</v>
      </c>
      <c r="P930" s="1" t="s">
        <v>1623</v>
      </c>
      <c r="Q930" s="65" t="s">
        <v>1719</v>
      </c>
    </row>
    <row r="931" ht="26" spans="2:17">
      <c r="B931" s="1">
        <v>930</v>
      </c>
      <c r="C931" s="24" t="s">
        <v>2260</v>
      </c>
      <c r="D931" s="24" t="s">
        <v>1346</v>
      </c>
      <c r="E931" s="25">
        <v>28.5</v>
      </c>
      <c r="F931" s="24" t="s">
        <v>2146</v>
      </c>
      <c r="G931" s="24" t="s">
        <v>2261</v>
      </c>
      <c r="H931" s="1"/>
      <c r="I931" s="1"/>
      <c r="J931" s="29">
        <v>45585</v>
      </c>
      <c r="K931" s="1"/>
      <c r="L931" s="27"/>
      <c r="M931" s="27"/>
      <c r="N931" s="1">
        <v>3</v>
      </c>
      <c r="O931" s="61">
        <v>45697</v>
      </c>
      <c r="P931" s="1" t="s">
        <v>1623</v>
      </c>
      <c r="Q931" s="65" t="s">
        <v>1719</v>
      </c>
    </row>
    <row r="932" ht="43.95" customHeight="1" spans="2:17">
      <c r="B932" s="1">
        <v>931</v>
      </c>
      <c r="C932" s="24" t="s">
        <v>2262</v>
      </c>
      <c r="D932" s="24" t="s">
        <v>1346</v>
      </c>
      <c r="E932" s="25">
        <v>25.98</v>
      </c>
      <c r="F932" s="24" t="s">
        <v>1901</v>
      </c>
      <c r="G932" s="24" t="s">
        <v>2263</v>
      </c>
      <c r="H932" s="1"/>
      <c r="I932" s="1"/>
      <c r="J932" s="29">
        <v>45637</v>
      </c>
      <c r="K932" s="1"/>
      <c r="L932" s="27"/>
      <c r="M932" s="27"/>
      <c r="N932" s="1">
        <v>3</v>
      </c>
      <c r="O932" s="61">
        <v>45697</v>
      </c>
      <c r="P932" s="1" t="s">
        <v>1623</v>
      </c>
      <c r="Q932" s="65" t="s">
        <v>1719</v>
      </c>
    </row>
    <row r="933" ht="46.95" customHeight="1" spans="2:17">
      <c r="B933" s="1">
        <v>932</v>
      </c>
      <c r="C933" s="24" t="s">
        <v>2264</v>
      </c>
      <c r="D933" s="24" t="s">
        <v>1346</v>
      </c>
      <c r="E933" s="25">
        <v>98.227</v>
      </c>
      <c r="F933" s="24" t="s">
        <v>1901</v>
      </c>
      <c r="G933" s="24" t="s">
        <v>2265</v>
      </c>
      <c r="H933" s="1"/>
      <c r="I933" s="1"/>
      <c r="J933" s="29">
        <v>45512</v>
      </c>
      <c r="K933" s="1"/>
      <c r="L933" s="27"/>
      <c r="M933" s="27"/>
      <c r="N933" s="1">
        <v>3</v>
      </c>
      <c r="O933" s="61">
        <v>45697</v>
      </c>
      <c r="P933" s="1" t="s">
        <v>1623</v>
      </c>
      <c r="Q933" s="65" t="s">
        <v>1719</v>
      </c>
    </row>
    <row r="934" ht="39" spans="2:17">
      <c r="B934" s="1">
        <v>933</v>
      </c>
      <c r="C934" s="24" t="s">
        <v>2266</v>
      </c>
      <c r="D934" s="24" t="s">
        <v>1346</v>
      </c>
      <c r="E934" s="25">
        <v>130.93</v>
      </c>
      <c r="F934" s="24" t="s">
        <v>1901</v>
      </c>
      <c r="G934" s="24" t="s">
        <v>2267</v>
      </c>
      <c r="H934" s="1"/>
      <c r="I934" s="1"/>
      <c r="J934" s="29">
        <v>45512</v>
      </c>
      <c r="K934" s="1"/>
      <c r="L934" s="27"/>
      <c r="M934" s="27"/>
      <c r="N934" s="1">
        <v>3</v>
      </c>
      <c r="O934" s="61">
        <v>45697</v>
      </c>
      <c r="P934" s="1" t="s">
        <v>1623</v>
      </c>
      <c r="Q934" s="65" t="s">
        <v>1719</v>
      </c>
    </row>
    <row r="935" ht="26" spans="2:17">
      <c r="B935" s="1">
        <v>934</v>
      </c>
      <c r="C935" s="24" t="s">
        <v>2268</v>
      </c>
      <c r="D935" s="24" t="s">
        <v>1683</v>
      </c>
      <c r="E935" s="33"/>
      <c r="F935" s="24" t="s">
        <v>2269</v>
      </c>
      <c r="G935" s="24" t="s">
        <v>2270</v>
      </c>
      <c r="H935" s="1" t="s">
        <v>708</v>
      </c>
      <c r="I935" s="1" t="s">
        <v>1692</v>
      </c>
      <c r="J935" s="29">
        <v>45595</v>
      </c>
      <c r="K935" s="1"/>
      <c r="L935" s="27"/>
      <c r="M935" s="27"/>
      <c r="N935" s="1">
        <v>2</v>
      </c>
      <c r="O935" s="61">
        <v>45697</v>
      </c>
      <c r="P935" s="1" t="s">
        <v>1957</v>
      </c>
      <c r="Q935" s="65" t="s">
        <v>1684</v>
      </c>
    </row>
    <row r="936" ht="26" spans="2:17">
      <c r="B936" s="1">
        <v>935</v>
      </c>
      <c r="C936" s="24" t="s">
        <v>2271</v>
      </c>
      <c r="D936" s="24" t="s">
        <v>592</v>
      </c>
      <c r="E936" s="33"/>
      <c r="F936" s="24" t="s">
        <v>2272</v>
      </c>
      <c r="G936" s="24" t="s">
        <v>2273</v>
      </c>
      <c r="H936" s="1" t="s">
        <v>708</v>
      </c>
      <c r="I936" s="1" t="s">
        <v>1692</v>
      </c>
      <c r="J936" s="29">
        <v>45292</v>
      </c>
      <c r="K936" s="1"/>
      <c r="L936" s="27"/>
      <c r="M936" s="27"/>
      <c r="N936" s="1">
        <v>3</v>
      </c>
      <c r="O936" s="61">
        <v>45697</v>
      </c>
      <c r="P936" s="1" t="s">
        <v>1957</v>
      </c>
      <c r="Q936" s="65" t="s">
        <v>2274</v>
      </c>
    </row>
    <row r="937" ht="26" spans="2:17">
      <c r="B937" s="1">
        <v>936</v>
      </c>
      <c r="C937" s="24" t="s">
        <v>2275</v>
      </c>
      <c r="D937" s="24" t="s">
        <v>2276</v>
      </c>
      <c r="E937" s="33"/>
      <c r="F937" s="24" t="s">
        <v>2277</v>
      </c>
      <c r="G937" s="24" t="s">
        <v>2278</v>
      </c>
      <c r="H937" s="1"/>
      <c r="I937" s="1"/>
      <c r="J937" s="29">
        <v>45461</v>
      </c>
      <c r="K937" s="1"/>
      <c r="L937" s="27">
        <v>29</v>
      </c>
      <c r="M937" s="27"/>
      <c r="N937" s="1">
        <v>3</v>
      </c>
      <c r="O937" s="61">
        <v>45716</v>
      </c>
      <c r="P937" s="1" t="s">
        <v>2126</v>
      </c>
      <c r="Q937" s="65" t="s">
        <v>2279</v>
      </c>
    </row>
    <row r="938" ht="39" spans="2:17">
      <c r="B938" s="1">
        <v>937</v>
      </c>
      <c r="C938" s="24" t="s">
        <v>2280</v>
      </c>
      <c r="D938" s="24" t="s">
        <v>1500</v>
      </c>
      <c r="E938" s="25">
        <v>10185</v>
      </c>
      <c r="F938" s="24" t="s">
        <v>2281</v>
      </c>
      <c r="G938" s="24" t="s">
        <v>2282</v>
      </c>
      <c r="H938" s="1"/>
      <c r="I938" s="1"/>
      <c r="J938" s="29">
        <v>45195</v>
      </c>
      <c r="K938" s="1"/>
      <c r="L938" s="27"/>
      <c r="M938" s="27"/>
      <c r="N938" s="1">
        <v>2</v>
      </c>
      <c r="O938" s="61">
        <v>45716</v>
      </c>
      <c r="P938" s="1" t="s">
        <v>2126</v>
      </c>
      <c r="Q938" s="65" t="s">
        <v>1796</v>
      </c>
    </row>
    <row r="939" ht="39" spans="2:17">
      <c r="B939" s="1">
        <v>938</v>
      </c>
      <c r="C939" s="24" t="s">
        <v>2283</v>
      </c>
      <c r="D939" s="24" t="s">
        <v>2110</v>
      </c>
      <c r="E939" s="33"/>
      <c r="F939" s="24" t="s">
        <v>2111</v>
      </c>
      <c r="G939" s="24" t="s">
        <v>2111</v>
      </c>
      <c r="H939" s="1"/>
      <c r="I939" s="1"/>
      <c r="J939" s="29">
        <v>45357</v>
      </c>
      <c r="K939" s="1"/>
      <c r="L939" s="27"/>
      <c r="M939" s="27"/>
      <c r="N939" s="1">
        <v>2</v>
      </c>
      <c r="O939" s="61">
        <v>45716</v>
      </c>
      <c r="P939" s="1" t="s">
        <v>2126</v>
      </c>
      <c r="Q939" s="65" t="s">
        <v>2284</v>
      </c>
    </row>
    <row r="940" ht="55.05" customHeight="1" spans="2:17">
      <c r="B940" s="1">
        <v>939</v>
      </c>
      <c r="C940" s="24" t="s">
        <v>2285</v>
      </c>
      <c r="D940" s="24" t="s">
        <v>2286</v>
      </c>
      <c r="E940" s="33"/>
      <c r="F940" s="24" t="s">
        <v>693</v>
      </c>
      <c r="G940" s="24" t="s">
        <v>1379</v>
      </c>
      <c r="H940" s="1" t="s">
        <v>813</v>
      </c>
      <c r="I940" s="1"/>
      <c r="J940" s="29">
        <v>45702</v>
      </c>
      <c r="K940" s="1"/>
      <c r="L940" s="27"/>
      <c r="M940" s="27"/>
      <c r="N940" s="1">
        <v>2</v>
      </c>
      <c r="O940" s="61">
        <v>45726</v>
      </c>
      <c r="P940" s="1" t="s">
        <v>2287</v>
      </c>
      <c r="Q940" s="65" t="s">
        <v>2288</v>
      </c>
    </row>
    <row r="941" ht="65" spans="2:17">
      <c r="B941" s="1">
        <v>940</v>
      </c>
      <c r="C941" s="24" t="s">
        <v>2289</v>
      </c>
      <c r="D941" s="24" t="s">
        <v>1281</v>
      </c>
      <c r="E941" s="25">
        <v>2340000</v>
      </c>
      <c r="F941" s="24" t="s">
        <v>2290</v>
      </c>
      <c r="G941" s="24" t="s">
        <v>2291</v>
      </c>
      <c r="H941" s="1" t="s">
        <v>1001</v>
      </c>
      <c r="I941" s="1" t="s">
        <v>1692</v>
      </c>
      <c r="J941" s="29">
        <v>45498</v>
      </c>
      <c r="K941" s="1">
        <v>139.9</v>
      </c>
      <c r="L941" s="27"/>
      <c r="M941" s="27"/>
      <c r="N941" s="1">
        <v>3</v>
      </c>
      <c r="O941" s="61">
        <v>45728</v>
      </c>
      <c r="P941" s="1" t="s">
        <v>1616</v>
      </c>
      <c r="Q941" s="65" t="s">
        <v>2160</v>
      </c>
    </row>
    <row r="942" ht="52" spans="2:17">
      <c r="B942" s="1">
        <v>941</v>
      </c>
      <c r="C942" s="24" t="s">
        <v>2292</v>
      </c>
      <c r="D942" s="24" t="s">
        <v>2293</v>
      </c>
      <c r="E942" s="33"/>
      <c r="F942" s="24" t="s">
        <v>1802</v>
      </c>
      <c r="G942" s="24" t="s">
        <v>2294</v>
      </c>
      <c r="H942" s="1"/>
      <c r="I942" s="1"/>
      <c r="J942" s="29">
        <v>45733</v>
      </c>
      <c r="K942" s="1"/>
      <c r="L942" s="27"/>
      <c r="M942" s="27"/>
      <c r="N942" s="1">
        <v>2</v>
      </c>
      <c r="O942" s="61">
        <v>45733</v>
      </c>
      <c r="P942" s="1" t="s">
        <v>1621</v>
      </c>
      <c r="Q942" s="65" t="s">
        <v>2295</v>
      </c>
    </row>
    <row r="943" ht="39" spans="2:17">
      <c r="B943" s="1">
        <v>942</v>
      </c>
      <c r="C943" s="24" t="s">
        <v>2296</v>
      </c>
      <c r="D943" s="24" t="s">
        <v>2297</v>
      </c>
      <c r="E943" s="33"/>
      <c r="F943" s="24" t="s">
        <v>2298</v>
      </c>
      <c r="G943" s="24" t="s">
        <v>2299</v>
      </c>
      <c r="H943" s="1" t="s">
        <v>2030</v>
      </c>
      <c r="I943" s="1" t="s">
        <v>2031</v>
      </c>
      <c r="J943" s="29">
        <v>45483</v>
      </c>
      <c r="K943" s="1"/>
      <c r="L943" s="27"/>
      <c r="M943" s="27"/>
      <c r="N943" s="1">
        <v>3</v>
      </c>
      <c r="O943" s="61">
        <v>45757</v>
      </c>
      <c r="P943" s="1" t="s">
        <v>1613</v>
      </c>
      <c r="Q943" s="65" t="s">
        <v>2300</v>
      </c>
    </row>
    <row r="944" ht="78" spans="2:17">
      <c r="B944" s="1">
        <v>943</v>
      </c>
      <c r="C944" s="24" t="s">
        <v>2301</v>
      </c>
      <c r="D944" s="24" t="s">
        <v>2302</v>
      </c>
      <c r="E944" s="25">
        <v>6300000</v>
      </c>
      <c r="F944" s="24" t="s">
        <v>2303</v>
      </c>
      <c r="G944" s="24" t="s">
        <v>2304</v>
      </c>
      <c r="H944" s="1" t="s">
        <v>1795</v>
      </c>
      <c r="I944" s="1"/>
      <c r="J944" s="29">
        <v>45726</v>
      </c>
      <c r="K944" s="1"/>
      <c r="L944" s="27"/>
      <c r="M944" s="27"/>
      <c r="N944" s="1">
        <v>2</v>
      </c>
      <c r="O944" s="61">
        <v>45757</v>
      </c>
      <c r="P944" s="1" t="s">
        <v>2287</v>
      </c>
      <c r="Q944" s="65" t="s">
        <v>2305</v>
      </c>
    </row>
    <row r="945" ht="39" spans="2:17">
      <c r="B945" s="1">
        <v>944</v>
      </c>
      <c r="C945" s="24" t="s">
        <v>2306</v>
      </c>
      <c r="D945" s="24" t="s">
        <v>791</v>
      </c>
      <c r="E945" s="33">
        <v>10138704</v>
      </c>
      <c r="F945" s="24" t="s">
        <v>1940</v>
      </c>
      <c r="G945" s="24" t="s">
        <v>2307</v>
      </c>
      <c r="H945" s="1" t="s">
        <v>1457</v>
      </c>
      <c r="I945" s="1" t="s">
        <v>2308</v>
      </c>
      <c r="J945" s="29">
        <v>45349</v>
      </c>
      <c r="K945" s="1"/>
      <c r="L945" s="27"/>
      <c r="M945" s="27"/>
      <c r="N945" s="1">
        <v>1</v>
      </c>
      <c r="O945" s="61">
        <v>45793</v>
      </c>
      <c r="P945" s="1" t="s">
        <v>2112</v>
      </c>
      <c r="Q945" s="65" t="s">
        <v>1942</v>
      </c>
    </row>
    <row r="946" ht="36" customHeight="1" spans="2:17">
      <c r="B946" s="1">
        <v>945</v>
      </c>
      <c r="C946" s="24" t="s">
        <v>2309</v>
      </c>
      <c r="D946" s="24" t="s">
        <v>791</v>
      </c>
      <c r="E946" s="25">
        <v>1334.1867</v>
      </c>
      <c r="F946" s="24" t="s">
        <v>2310</v>
      </c>
      <c r="G946" s="24" t="s">
        <v>2311</v>
      </c>
      <c r="H946" s="1" t="s">
        <v>1457</v>
      </c>
      <c r="I946" s="1" t="s">
        <v>2312</v>
      </c>
      <c r="J946" s="29">
        <v>45380</v>
      </c>
      <c r="K946" s="1">
        <v>4.9</v>
      </c>
      <c r="L946" s="27"/>
      <c r="M946" s="27"/>
      <c r="N946" s="1">
        <v>3</v>
      </c>
      <c r="O946" s="61">
        <v>45793</v>
      </c>
      <c r="P946" s="1" t="s">
        <v>2112</v>
      </c>
      <c r="Q946" s="65" t="s">
        <v>1942</v>
      </c>
    </row>
    <row r="947" ht="26" spans="2:17">
      <c r="B947" s="1">
        <v>946</v>
      </c>
      <c r="C947" s="24" t="s">
        <v>2313</v>
      </c>
      <c r="D947" s="24" t="s">
        <v>791</v>
      </c>
      <c r="E947" s="33">
        <v>712512</v>
      </c>
      <c r="F947" s="24" t="s">
        <v>1940</v>
      </c>
      <c r="G947" s="24" t="s">
        <v>2307</v>
      </c>
      <c r="H947" s="1" t="s">
        <v>1457</v>
      </c>
      <c r="I947" s="1" t="s">
        <v>2308</v>
      </c>
      <c r="J947" s="29">
        <v>45362</v>
      </c>
      <c r="K947" s="1"/>
      <c r="L947" s="27"/>
      <c r="M947" s="27"/>
      <c r="N947" s="1">
        <v>3</v>
      </c>
      <c r="O947" s="61">
        <v>45793</v>
      </c>
      <c r="P947" s="1" t="s">
        <v>2112</v>
      </c>
      <c r="Q947" s="65" t="s">
        <v>1942</v>
      </c>
    </row>
    <row r="948" ht="27.6" customHeight="1" spans="2:17">
      <c r="B948" s="1">
        <v>947</v>
      </c>
      <c r="C948" s="24" t="s">
        <v>2314</v>
      </c>
      <c r="D948" s="24" t="s">
        <v>791</v>
      </c>
      <c r="E948" s="33"/>
      <c r="F948" s="24" t="s">
        <v>1940</v>
      </c>
      <c r="G948" s="24" t="s">
        <v>2315</v>
      </c>
      <c r="H948" s="1" t="s">
        <v>1457</v>
      </c>
      <c r="I948" s="1" t="s">
        <v>2316</v>
      </c>
      <c r="J948" s="29">
        <v>45405</v>
      </c>
      <c r="K948" s="1"/>
      <c r="L948" s="27"/>
      <c r="M948" s="27"/>
      <c r="N948" s="1">
        <v>3</v>
      </c>
      <c r="O948" s="61">
        <v>45793</v>
      </c>
      <c r="P948" s="1" t="s">
        <v>2112</v>
      </c>
      <c r="Q948" s="65" t="s">
        <v>1942</v>
      </c>
    </row>
    <row r="949" ht="36" customHeight="1" spans="2:17">
      <c r="B949" s="1">
        <v>948</v>
      </c>
      <c r="C949" s="24" t="s">
        <v>2317</v>
      </c>
      <c r="D949" s="24" t="s">
        <v>1029</v>
      </c>
      <c r="E949" s="25">
        <v>1026000</v>
      </c>
      <c r="F949" s="24" t="s">
        <v>2318</v>
      </c>
      <c r="G949" s="24" t="s">
        <v>2319</v>
      </c>
      <c r="H949" s="1" t="s">
        <v>1067</v>
      </c>
      <c r="I949" s="1"/>
      <c r="J949" s="29">
        <v>45789</v>
      </c>
      <c r="K949" s="1">
        <v>49.8</v>
      </c>
      <c r="L949" s="27"/>
      <c r="M949" s="27"/>
      <c r="N949" s="1">
        <v>2</v>
      </c>
      <c r="O949" s="61">
        <v>45811</v>
      </c>
      <c r="P949" s="1" t="s">
        <v>2320</v>
      </c>
      <c r="Q949" s="65" t="s">
        <v>1696</v>
      </c>
    </row>
    <row r="950" ht="36" customHeight="1" spans="2:17">
      <c r="B950" s="1">
        <v>949</v>
      </c>
      <c r="C950" s="24" t="s">
        <v>2321</v>
      </c>
      <c r="D950" s="24" t="s">
        <v>1029</v>
      </c>
      <c r="E950" s="25">
        <v>1026000</v>
      </c>
      <c r="F950" s="24" t="s">
        <v>2322</v>
      </c>
      <c r="G950" s="24" t="s">
        <v>2323</v>
      </c>
      <c r="H950" s="1" t="s">
        <v>1067</v>
      </c>
      <c r="I950" s="1"/>
      <c r="J950" s="29">
        <v>45789</v>
      </c>
      <c r="K950" s="1">
        <v>19.5</v>
      </c>
      <c r="L950" s="27"/>
      <c r="M950" s="27"/>
      <c r="N950" s="1">
        <v>2</v>
      </c>
      <c r="O950" s="61">
        <v>45811</v>
      </c>
      <c r="P950" s="1" t="s">
        <v>2320</v>
      </c>
      <c r="Q950" s="65" t="s">
        <v>1696</v>
      </c>
    </row>
    <row r="951" ht="65" spans="2:17">
      <c r="B951" s="1">
        <v>950</v>
      </c>
      <c r="C951" s="24" t="s">
        <v>2324</v>
      </c>
      <c r="D951" s="24" t="s">
        <v>2325</v>
      </c>
      <c r="E951" s="33"/>
      <c r="F951" s="24" t="s">
        <v>2326</v>
      </c>
      <c r="G951" s="24" t="s">
        <v>2327</v>
      </c>
      <c r="H951" s="1" t="s">
        <v>1067</v>
      </c>
      <c r="I951" s="1"/>
      <c r="J951" s="29">
        <v>45684</v>
      </c>
      <c r="K951" s="1">
        <v>14.6</v>
      </c>
      <c r="L951" s="27"/>
      <c r="M951" s="27"/>
      <c r="N951" s="1">
        <v>2</v>
      </c>
      <c r="O951" s="61">
        <v>45811</v>
      </c>
      <c r="P951" s="1" t="s">
        <v>2320</v>
      </c>
      <c r="Q951" s="65" t="s">
        <v>1696</v>
      </c>
    </row>
    <row r="952" ht="34.05" customHeight="1" spans="2:17">
      <c r="B952" s="1">
        <v>951</v>
      </c>
      <c r="C952" s="24" t="s">
        <v>2328</v>
      </c>
      <c r="D952" s="24" t="s">
        <v>1029</v>
      </c>
      <c r="E952" s="25">
        <v>4070000</v>
      </c>
      <c r="F952" s="24" t="s">
        <v>2318</v>
      </c>
      <c r="G952" s="24" t="s">
        <v>2319</v>
      </c>
      <c r="H952" s="1" t="s">
        <v>1067</v>
      </c>
      <c r="I952" s="1"/>
      <c r="J952" s="29">
        <v>45681</v>
      </c>
      <c r="K952" s="1">
        <v>54.6</v>
      </c>
      <c r="L952" s="27"/>
      <c r="M952" s="27"/>
      <c r="N952" s="1">
        <v>2</v>
      </c>
      <c r="O952" s="61">
        <v>45811</v>
      </c>
      <c r="P952" s="1" t="s">
        <v>2320</v>
      </c>
      <c r="Q952" s="65" t="s">
        <v>1696</v>
      </c>
    </row>
    <row r="953" ht="45" customHeight="1" spans="2:17">
      <c r="B953" s="1">
        <v>952</v>
      </c>
      <c r="C953" s="24" t="s">
        <v>2329</v>
      </c>
      <c r="D953" s="24" t="s">
        <v>1029</v>
      </c>
      <c r="E953" s="25">
        <v>2640000</v>
      </c>
      <c r="F953" s="24" t="s">
        <v>2318</v>
      </c>
      <c r="G953" s="24" t="s">
        <v>2319</v>
      </c>
      <c r="H953" s="1" t="s">
        <v>1067</v>
      </c>
      <c r="I953" s="1"/>
      <c r="J953" s="29">
        <v>45681</v>
      </c>
      <c r="K953" s="1">
        <v>54.6</v>
      </c>
      <c r="L953" s="27"/>
      <c r="M953" s="27"/>
      <c r="N953" s="1">
        <v>2</v>
      </c>
      <c r="O953" s="61">
        <v>45811</v>
      </c>
      <c r="P953" s="1" t="s">
        <v>2320</v>
      </c>
      <c r="Q953" s="65" t="s">
        <v>1696</v>
      </c>
    </row>
    <row r="954" ht="39" spans="2:17">
      <c r="B954" s="1">
        <v>953</v>
      </c>
      <c r="C954" s="24" t="s">
        <v>2330</v>
      </c>
      <c r="D954" s="24" t="s">
        <v>2331</v>
      </c>
      <c r="E954" s="25">
        <v>110137.9526</v>
      </c>
      <c r="F954" s="24" t="s">
        <v>2332</v>
      </c>
      <c r="G954" s="24" t="s">
        <v>2333</v>
      </c>
      <c r="H954" s="1" t="s">
        <v>2334</v>
      </c>
      <c r="I954" s="1"/>
      <c r="J954" s="29">
        <v>45728</v>
      </c>
      <c r="K954" s="1">
        <v>158.68</v>
      </c>
      <c r="L954" s="27"/>
      <c r="M954" s="27"/>
      <c r="N954" s="1">
        <v>2</v>
      </c>
      <c r="O954" s="61">
        <v>45824</v>
      </c>
      <c r="P954" s="1" t="s">
        <v>813</v>
      </c>
      <c r="Q954" s="65" t="s">
        <v>2335</v>
      </c>
    </row>
    <row r="955" ht="32.4" customHeight="1" spans="2:17">
      <c r="B955" s="1">
        <v>954</v>
      </c>
      <c r="C955" s="24" t="s">
        <v>2336</v>
      </c>
      <c r="D955" s="24" t="s">
        <v>2337</v>
      </c>
      <c r="E955" s="25">
        <v>85000</v>
      </c>
      <c r="F955" s="24" t="s">
        <v>365</v>
      </c>
      <c r="G955" s="24" t="s">
        <v>2338</v>
      </c>
      <c r="H955" s="1" t="s">
        <v>721</v>
      </c>
      <c r="I955" s="1"/>
      <c r="J955" s="29">
        <v>45663</v>
      </c>
      <c r="K955" s="1"/>
      <c r="L955" s="27"/>
      <c r="M955" s="27"/>
      <c r="N955" s="1">
        <v>2</v>
      </c>
      <c r="O955" s="61">
        <v>45825</v>
      </c>
      <c r="P955" s="1" t="s">
        <v>2126</v>
      </c>
      <c r="Q955" s="65" t="s">
        <v>2339</v>
      </c>
    </row>
    <row r="956" s="4" customFormat="1" ht="39" spans="2:17">
      <c r="B956" s="86">
        <v>955</v>
      </c>
      <c r="C956" s="87" t="s">
        <v>2340</v>
      </c>
      <c r="D956" s="88" t="s">
        <v>2337</v>
      </c>
      <c r="E956" s="89">
        <v>21669.66</v>
      </c>
      <c r="F956" s="88" t="s">
        <v>365</v>
      </c>
      <c r="G956" s="88" t="s">
        <v>2338</v>
      </c>
      <c r="H956" s="86" t="s">
        <v>721</v>
      </c>
      <c r="I956" s="86"/>
      <c r="J956" s="90">
        <v>45749</v>
      </c>
      <c r="K956" s="86"/>
      <c r="L956" s="91"/>
      <c r="M956" s="91"/>
      <c r="N956" s="86">
        <v>3</v>
      </c>
      <c r="O956" s="92">
        <v>45825</v>
      </c>
      <c r="P956" s="86" t="s">
        <v>2126</v>
      </c>
      <c r="Q956" s="93" t="s">
        <v>2339</v>
      </c>
    </row>
    <row r="957" ht="26" spans="2:17">
      <c r="B957" s="1">
        <v>956</v>
      </c>
      <c r="C957" s="24" t="s">
        <v>2341</v>
      </c>
      <c r="D957" s="24" t="s">
        <v>2342</v>
      </c>
      <c r="E957" s="25">
        <v>228900</v>
      </c>
      <c r="F957" s="24" t="s">
        <v>2343</v>
      </c>
      <c r="G957" s="24" t="s">
        <v>2344</v>
      </c>
      <c r="H957" s="1" t="s">
        <v>884</v>
      </c>
      <c r="I957" s="1"/>
      <c r="J957" s="29">
        <v>45825</v>
      </c>
      <c r="K957" s="1">
        <v>208.53</v>
      </c>
      <c r="L957" s="27"/>
      <c r="M957" s="27"/>
      <c r="N957" s="1">
        <v>2</v>
      </c>
      <c r="O957" s="61">
        <v>45834</v>
      </c>
      <c r="P957" s="1" t="s">
        <v>1457</v>
      </c>
      <c r="Q957" s="65" t="s">
        <v>2345</v>
      </c>
    </row>
    <row r="958" ht="26" spans="2:17">
      <c r="B958" s="1">
        <v>957</v>
      </c>
      <c r="C958" s="24" t="s">
        <v>2346</v>
      </c>
      <c r="D958" s="24" t="s">
        <v>1029</v>
      </c>
      <c r="E958" s="25">
        <v>2130000</v>
      </c>
      <c r="F958" s="24" t="s">
        <v>2318</v>
      </c>
      <c r="G958" s="24" t="s">
        <v>2319</v>
      </c>
      <c r="H958" s="1" t="s">
        <v>1067</v>
      </c>
      <c r="I958" s="1"/>
      <c r="J958" s="29">
        <v>45825</v>
      </c>
      <c r="K958" s="1">
        <v>19.5</v>
      </c>
      <c r="L958" s="27"/>
      <c r="M958" s="27"/>
      <c r="N958" s="1">
        <v>2</v>
      </c>
      <c r="O958" s="61">
        <v>45835</v>
      </c>
      <c r="P958" s="1" t="s">
        <v>1472</v>
      </c>
      <c r="Q958" s="65" t="s">
        <v>1696</v>
      </c>
    </row>
    <row r="959" ht="34.2" customHeight="1" spans="2:17">
      <c r="B959" s="1">
        <v>958</v>
      </c>
      <c r="C959" s="24" t="s">
        <v>2347</v>
      </c>
      <c r="D959" s="24" t="s">
        <v>1281</v>
      </c>
      <c r="E959" s="33">
        <v>340000</v>
      </c>
      <c r="F959" s="24" t="s">
        <v>2348</v>
      </c>
      <c r="G959" s="24" t="s">
        <v>2349</v>
      </c>
      <c r="H959" s="1" t="s">
        <v>1692</v>
      </c>
      <c r="I959" s="1"/>
      <c r="J959" s="29">
        <v>45665</v>
      </c>
      <c r="K959" s="1"/>
      <c r="L959" s="27"/>
      <c r="M959" s="27"/>
      <c r="N959" s="1">
        <v>3</v>
      </c>
      <c r="O959" s="61">
        <v>45839</v>
      </c>
      <c r="P959" s="1" t="s">
        <v>1957</v>
      </c>
      <c r="Q959" s="65" t="s">
        <v>2160</v>
      </c>
    </row>
    <row r="960" ht="52" spans="2:17">
      <c r="B960" s="1">
        <v>959</v>
      </c>
      <c r="C960" s="24" t="s">
        <v>2350</v>
      </c>
      <c r="D960" s="24" t="s">
        <v>2351</v>
      </c>
      <c r="E960" s="33">
        <v>39955</v>
      </c>
      <c r="F960" s="24" t="s">
        <v>2237</v>
      </c>
      <c r="G960" s="24" t="s">
        <v>2352</v>
      </c>
      <c r="H960" s="1" t="s">
        <v>1001</v>
      </c>
      <c r="I960" s="1" t="s">
        <v>1692</v>
      </c>
      <c r="J960" s="29">
        <v>45590</v>
      </c>
      <c r="K960" s="1"/>
      <c r="L960" s="27"/>
      <c r="M960" s="27"/>
      <c r="N960" s="1">
        <v>2</v>
      </c>
      <c r="O960" s="61">
        <v>45839</v>
      </c>
      <c r="P960" s="1" t="s">
        <v>1957</v>
      </c>
      <c r="Q960" s="65" t="s">
        <v>2353</v>
      </c>
    </row>
    <row r="961" ht="52" spans="2:17">
      <c r="B961" s="1">
        <v>960</v>
      </c>
      <c r="C961" s="24" t="s">
        <v>2354</v>
      </c>
      <c r="D961" s="24" t="s">
        <v>2355</v>
      </c>
      <c r="E961" s="33"/>
      <c r="F961" s="24" t="s">
        <v>1802</v>
      </c>
      <c r="G961" s="24" t="s">
        <v>2356</v>
      </c>
      <c r="H961" s="1"/>
      <c r="I961" s="1"/>
      <c r="J961" s="29">
        <v>45792</v>
      </c>
      <c r="K961" s="1"/>
      <c r="L961" s="27"/>
      <c r="M961" s="27"/>
      <c r="N961" s="1">
        <v>2</v>
      </c>
      <c r="O961" s="61">
        <v>45839</v>
      </c>
      <c r="P961" s="1" t="s">
        <v>1957</v>
      </c>
      <c r="Q961" s="65" t="s">
        <v>2357</v>
      </c>
    </row>
    <row r="962" ht="26" spans="2:17">
      <c r="B962" s="1">
        <v>961</v>
      </c>
      <c r="C962" s="24" t="s">
        <v>2358</v>
      </c>
      <c r="D962" s="24" t="s">
        <v>1916</v>
      </c>
      <c r="E962" s="33"/>
      <c r="F962" s="24" t="s">
        <v>2359</v>
      </c>
      <c r="G962" s="24" t="s">
        <v>2360</v>
      </c>
      <c r="H962" s="1" t="s">
        <v>1001</v>
      </c>
      <c r="I962" s="1" t="s">
        <v>1692</v>
      </c>
      <c r="J962" s="29">
        <v>45817</v>
      </c>
      <c r="K962" s="1"/>
      <c r="L962" s="27"/>
      <c r="M962" s="27"/>
      <c r="N962" s="1">
        <v>2</v>
      </c>
      <c r="O962" s="61">
        <v>45839</v>
      </c>
      <c r="P962" s="1" t="s">
        <v>1957</v>
      </c>
      <c r="Q962" s="65" t="s">
        <v>1919</v>
      </c>
    </row>
    <row r="963" ht="34.95" customHeight="1" spans="2:17">
      <c r="B963" s="1">
        <v>962</v>
      </c>
      <c r="C963" s="24" t="s">
        <v>2361</v>
      </c>
      <c r="D963" s="24" t="s">
        <v>1029</v>
      </c>
      <c r="E963" s="25">
        <v>1027000</v>
      </c>
      <c r="F963" s="24" t="s">
        <v>2318</v>
      </c>
      <c r="G963" s="24" t="s">
        <v>2319</v>
      </c>
      <c r="H963" s="1" t="s">
        <v>1067</v>
      </c>
      <c r="I963" s="1"/>
      <c r="J963" s="29">
        <v>45809</v>
      </c>
      <c r="K963" s="1">
        <v>44.8</v>
      </c>
      <c r="L963" s="27"/>
      <c r="M963" s="27"/>
      <c r="N963" s="1">
        <v>2</v>
      </c>
      <c r="O963" s="61">
        <v>45854</v>
      </c>
      <c r="P963" s="1" t="s">
        <v>2320</v>
      </c>
      <c r="Q963" s="65" t="s">
        <v>1696</v>
      </c>
    </row>
    <row r="964" ht="52" spans="2:17">
      <c r="B964" s="1">
        <v>963</v>
      </c>
      <c r="C964" s="24" t="s">
        <v>2362</v>
      </c>
      <c r="D964" s="24" t="s">
        <v>2363</v>
      </c>
      <c r="E964" s="33"/>
      <c r="F964" s="24" t="s">
        <v>2120</v>
      </c>
      <c r="G964" s="24" t="s">
        <v>2121</v>
      </c>
      <c r="H964" s="1"/>
      <c r="I964" s="1"/>
      <c r="J964" s="29">
        <v>45809</v>
      </c>
      <c r="K964" s="1">
        <v>281.9805</v>
      </c>
      <c r="L964" s="27"/>
      <c r="M964" s="27"/>
      <c r="N964" s="1">
        <v>2</v>
      </c>
      <c r="O964" s="61">
        <v>45854</v>
      </c>
      <c r="P964" s="1" t="s">
        <v>813</v>
      </c>
      <c r="Q964" s="65" t="s">
        <v>2364</v>
      </c>
    </row>
    <row r="965" ht="26" spans="2:17">
      <c r="B965" s="1">
        <v>964</v>
      </c>
      <c r="C965" s="24" t="s">
        <v>2258</v>
      </c>
      <c r="D965" s="24" t="s">
        <v>1346</v>
      </c>
      <c r="E965" s="25">
        <v>26.8</v>
      </c>
      <c r="F965" s="24" t="s">
        <v>395</v>
      </c>
      <c r="G965" s="24" t="s">
        <v>2259</v>
      </c>
      <c r="H965" s="1"/>
      <c r="I965" s="1"/>
      <c r="J965" s="29">
        <v>45679</v>
      </c>
      <c r="K965" s="1"/>
      <c r="L965" s="27"/>
      <c r="M965" s="27"/>
      <c r="N965" s="1">
        <v>3</v>
      </c>
      <c r="O965" s="61">
        <v>45860</v>
      </c>
      <c r="P965" s="1" t="s">
        <v>1623</v>
      </c>
      <c r="Q965" s="65" t="s">
        <v>1719</v>
      </c>
    </row>
    <row r="966" ht="26" spans="2:17">
      <c r="B966" s="1">
        <v>965</v>
      </c>
      <c r="C966" s="24" t="s">
        <v>2365</v>
      </c>
      <c r="D966" s="24" t="s">
        <v>1346</v>
      </c>
      <c r="E966" s="25">
        <v>320</v>
      </c>
      <c r="F966" s="24" t="s">
        <v>2366</v>
      </c>
      <c r="G966" s="24" t="s">
        <v>2367</v>
      </c>
      <c r="H966" s="1"/>
      <c r="I966" s="1"/>
      <c r="J966" s="29">
        <v>45666</v>
      </c>
      <c r="K966" s="1"/>
      <c r="L966" s="27"/>
      <c r="M966" s="27"/>
      <c r="N966" s="1">
        <v>3</v>
      </c>
      <c r="O966" s="61">
        <v>45860</v>
      </c>
      <c r="P966" s="1" t="s">
        <v>1623</v>
      </c>
      <c r="Q966" s="65" t="s">
        <v>1719</v>
      </c>
    </row>
    <row r="967" ht="26" spans="2:17">
      <c r="B967" s="1">
        <v>966</v>
      </c>
      <c r="C967" s="24" t="s">
        <v>2368</v>
      </c>
      <c r="D967" s="24" t="s">
        <v>1346</v>
      </c>
      <c r="E967" s="25">
        <v>62.55</v>
      </c>
      <c r="F967" s="24" t="s">
        <v>2366</v>
      </c>
      <c r="G967" s="24" t="s">
        <v>2369</v>
      </c>
      <c r="H967" s="1"/>
      <c r="I967" s="1"/>
      <c r="J967" s="29">
        <v>45729</v>
      </c>
      <c r="K967" s="1"/>
      <c r="L967" s="27"/>
      <c r="M967" s="27"/>
      <c r="N967" s="1">
        <v>3</v>
      </c>
      <c r="O967" s="61">
        <v>45860</v>
      </c>
      <c r="P967" s="1" t="s">
        <v>1623</v>
      </c>
      <c r="Q967" s="65" t="s">
        <v>1719</v>
      </c>
    </row>
    <row r="968" ht="26" spans="2:17">
      <c r="B968" s="1">
        <v>967</v>
      </c>
      <c r="C968" s="24" t="s">
        <v>2370</v>
      </c>
      <c r="D968" s="24" t="s">
        <v>1346</v>
      </c>
      <c r="E968" s="25">
        <v>51.48</v>
      </c>
      <c r="F968" s="24" t="s">
        <v>2366</v>
      </c>
      <c r="G968" s="24" t="s">
        <v>2371</v>
      </c>
      <c r="H968" s="1"/>
      <c r="I968" s="1"/>
      <c r="J968" s="29">
        <v>45729</v>
      </c>
      <c r="K968" s="1"/>
      <c r="L968" s="27"/>
      <c r="M968" s="27"/>
      <c r="N968" s="1">
        <v>3</v>
      </c>
      <c r="O968" s="61">
        <v>45860</v>
      </c>
      <c r="P968" s="1" t="s">
        <v>1623</v>
      </c>
      <c r="Q968" s="65" t="s">
        <v>1719</v>
      </c>
    </row>
    <row r="969" ht="26" spans="2:17">
      <c r="B969" s="1">
        <v>968</v>
      </c>
      <c r="C969" s="24" t="s">
        <v>2372</v>
      </c>
      <c r="D969" s="24" t="s">
        <v>1346</v>
      </c>
      <c r="E969" s="33"/>
      <c r="F969" s="24" t="s">
        <v>2366</v>
      </c>
      <c r="G969" s="24" t="s">
        <v>2373</v>
      </c>
      <c r="H969" s="1"/>
      <c r="I969" s="1"/>
      <c r="J969" s="29">
        <v>45756</v>
      </c>
      <c r="K969" s="1"/>
      <c r="L969" s="27"/>
      <c r="M969" s="27"/>
      <c r="N969" s="1">
        <v>3</v>
      </c>
      <c r="O969" s="61">
        <v>45860</v>
      </c>
      <c r="P969" s="1" t="s">
        <v>1623</v>
      </c>
      <c r="Q969" s="65" t="s">
        <v>1719</v>
      </c>
    </row>
    <row r="970" ht="45" customHeight="1" spans="2:17">
      <c r="B970" s="1">
        <v>969</v>
      </c>
      <c r="C970" s="24" t="s">
        <v>2374</v>
      </c>
      <c r="D970" s="24" t="s">
        <v>1346</v>
      </c>
      <c r="E970" s="25">
        <v>204.5</v>
      </c>
      <c r="F970" s="24" t="s">
        <v>2366</v>
      </c>
      <c r="G970" s="24" t="s">
        <v>2375</v>
      </c>
      <c r="H970" s="1"/>
      <c r="I970" s="1"/>
      <c r="J970" s="29">
        <v>45631</v>
      </c>
      <c r="K970" s="1"/>
      <c r="L970" s="27"/>
      <c r="M970" s="27"/>
      <c r="N970" s="1">
        <v>3</v>
      </c>
      <c r="O970" s="61">
        <v>45860</v>
      </c>
      <c r="P970" s="1" t="s">
        <v>1623</v>
      </c>
      <c r="Q970" s="65" t="s">
        <v>1719</v>
      </c>
    </row>
    <row r="971" ht="91" spans="2:17">
      <c r="B971" s="1">
        <v>970</v>
      </c>
      <c r="C971" s="24" t="s">
        <v>2376</v>
      </c>
      <c r="D971" s="24" t="s">
        <v>2377</v>
      </c>
      <c r="E971" s="25">
        <v>705200</v>
      </c>
      <c r="F971" s="24" t="s">
        <v>2378</v>
      </c>
      <c r="G971" s="24" t="s">
        <v>2379</v>
      </c>
      <c r="H971" s="1" t="s">
        <v>884</v>
      </c>
      <c r="I971" s="1" t="s">
        <v>2380</v>
      </c>
      <c r="J971" s="29">
        <v>45790</v>
      </c>
      <c r="K971" s="1"/>
      <c r="L971" s="27"/>
      <c r="M971" s="27"/>
      <c r="N971" s="1">
        <v>2</v>
      </c>
      <c r="O971" s="61">
        <v>45869</v>
      </c>
      <c r="P971" s="1" t="s">
        <v>2287</v>
      </c>
      <c r="Q971" s="65" t="s">
        <v>2381</v>
      </c>
    </row>
    <row r="972" ht="91" spans="2:17">
      <c r="B972" s="1">
        <v>971</v>
      </c>
      <c r="C972" s="24" t="s">
        <v>2382</v>
      </c>
      <c r="D972" s="24" t="s">
        <v>2383</v>
      </c>
      <c r="E972" s="25">
        <v>608000</v>
      </c>
      <c r="F972" s="24" t="s">
        <v>2378</v>
      </c>
      <c r="G972" s="24" t="s">
        <v>2379</v>
      </c>
      <c r="H972" s="1" t="s">
        <v>884</v>
      </c>
      <c r="I972" s="1" t="s">
        <v>2380</v>
      </c>
      <c r="J972" s="29">
        <v>45803</v>
      </c>
      <c r="K972" s="1"/>
      <c r="L972" s="27"/>
      <c r="M972" s="27"/>
      <c r="N972" s="1">
        <v>2</v>
      </c>
      <c r="O972" s="61">
        <v>45869</v>
      </c>
      <c r="P972" s="1" t="s">
        <v>2287</v>
      </c>
      <c r="Q972" s="65" t="s">
        <v>2384</v>
      </c>
    </row>
    <row r="973" ht="49.95" customHeight="1" spans="2:17">
      <c r="B973" s="1">
        <v>972</v>
      </c>
      <c r="C973" s="24" t="s">
        <v>2385</v>
      </c>
      <c r="D973" s="24" t="s">
        <v>2386</v>
      </c>
      <c r="E973" s="33"/>
      <c r="F973" s="24" t="s">
        <v>2387</v>
      </c>
      <c r="G973" s="24" t="s">
        <v>2388</v>
      </c>
      <c r="H973" s="1" t="s">
        <v>2287</v>
      </c>
      <c r="I973" s="1"/>
      <c r="J973" s="29">
        <v>45814</v>
      </c>
      <c r="K973" s="1">
        <v>5</v>
      </c>
      <c r="L973" s="27"/>
      <c r="M973" s="27"/>
      <c r="N973" s="1">
        <v>3</v>
      </c>
      <c r="O973" s="45">
        <v>45876</v>
      </c>
      <c r="P973" s="1" t="s">
        <v>2112</v>
      </c>
      <c r="Q973" s="65" t="s">
        <v>2389</v>
      </c>
    </row>
    <row r="974" ht="67.95" customHeight="1" spans="2:17">
      <c r="B974" s="1">
        <v>973</v>
      </c>
      <c r="C974" s="24" t="s">
        <v>2390</v>
      </c>
      <c r="D974" s="24" t="s">
        <v>2391</v>
      </c>
      <c r="E974" s="33"/>
      <c r="F974" s="24" t="s">
        <v>1802</v>
      </c>
      <c r="G974" s="24" t="s">
        <v>1802</v>
      </c>
      <c r="H974" s="1"/>
      <c r="I974" s="1"/>
      <c r="J974" s="29">
        <v>45832</v>
      </c>
      <c r="K974" s="1">
        <v>183</v>
      </c>
      <c r="L974" s="27"/>
      <c r="M974" s="27"/>
      <c r="N974" s="1">
        <v>3</v>
      </c>
      <c r="O974" s="45">
        <v>45919</v>
      </c>
      <c r="P974" s="1" t="s">
        <v>1896</v>
      </c>
      <c r="Q974" s="65" t="s">
        <v>2392</v>
      </c>
    </row>
    <row r="975" ht="43.95" customHeight="1" spans="2:17">
      <c r="B975" s="1">
        <v>974</v>
      </c>
      <c r="C975" s="24" t="s">
        <v>2393</v>
      </c>
      <c r="D975" s="24" t="s">
        <v>1916</v>
      </c>
      <c r="E975" s="33"/>
      <c r="F975" s="24" t="s">
        <v>2318</v>
      </c>
      <c r="G975" s="24" t="s">
        <v>2394</v>
      </c>
      <c r="H975" s="1"/>
      <c r="I975" s="1"/>
      <c r="J975" s="29">
        <v>45392</v>
      </c>
      <c r="K975" s="1"/>
      <c r="L975" s="27"/>
      <c r="M975" s="27"/>
      <c r="N975" s="1">
        <v>1</v>
      </c>
      <c r="O975" s="45">
        <v>45919</v>
      </c>
      <c r="P975" s="1" t="s">
        <v>1896</v>
      </c>
      <c r="Q975" s="65" t="s">
        <v>1919</v>
      </c>
    </row>
    <row r="976" ht="52.95" customHeight="1" spans="2:17">
      <c r="B976" s="1">
        <v>975</v>
      </c>
      <c r="C976" s="24" t="s">
        <v>2395</v>
      </c>
      <c r="D976" s="24" t="s">
        <v>2396</v>
      </c>
      <c r="E976" s="33"/>
      <c r="F976" s="24" t="s">
        <v>1802</v>
      </c>
      <c r="G976" s="24" t="s">
        <v>2397</v>
      </c>
      <c r="H976" s="1"/>
      <c r="I976" s="1"/>
      <c r="J976" s="29">
        <v>45897</v>
      </c>
      <c r="K976" s="1">
        <v>23.5</v>
      </c>
      <c r="L976" s="27"/>
      <c r="M976" s="27"/>
      <c r="N976" s="1">
        <v>2</v>
      </c>
      <c r="O976" s="45">
        <v>45919</v>
      </c>
      <c r="P976" s="1" t="s">
        <v>1896</v>
      </c>
      <c r="Q976" s="65" t="s">
        <v>2398</v>
      </c>
    </row>
    <row r="977" ht="52" spans="2:17">
      <c r="B977" s="1">
        <v>976</v>
      </c>
      <c r="C977" s="24" t="s">
        <v>2399</v>
      </c>
      <c r="D977" s="24" t="s">
        <v>2400</v>
      </c>
      <c r="E977" s="33"/>
      <c r="F977" s="24" t="s">
        <v>2106</v>
      </c>
      <c r="G977" s="24" t="s">
        <v>2401</v>
      </c>
      <c r="H977" s="1" t="s">
        <v>2030</v>
      </c>
      <c r="I977" s="1" t="s">
        <v>2031</v>
      </c>
      <c r="J977" s="29">
        <v>45748</v>
      </c>
      <c r="K977" s="1"/>
      <c r="L977" s="27"/>
      <c r="M977" s="27"/>
      <c r="N977" s="1">
        <v>3</v>
      </c>
      <c r="O977" s="45">
        <v>45919</v>
      </c>
      <c r="P977" s="1" t="s">
        <v>1613</v>
      </c>
      <c r="Q977" s="65" t="s">
        <v>2402</v>
      </c>
    </row>
    <row r="978" ht="45" customHeight="1" spans="2:17">
      <c r="B978" s="1">
        <v>977</v>
      </c>
      <c r="C978" s="24" t="s">
        <v>2403</v>
      </c>
      <c r="D978" s="24" t="s">
        <v>2337</v>
      </c>
      <c r="E978" s="25">
        <v>85065</v>
      </c>
      <c r="F978" s="24" t="s">
        <v>1173</v>
      </c>
      <c r="G978" s="24" t="s">
        <v>2404</v>
      </c>
      <c r="H978" s="1" t="s">
        <v>721</v>
      </c>
      <c r="I978" s="1"/>
      <c r="J978" s="29">
        <v>45849</v>
      </c>
      <c r="K978" s="1"/>
      <c r="L978" s="27"/>
      <c r="M978" s="27"/>
      <c r="N978" s="1">
        <v>2</v>
      </c>
      <c r="O978" s="45">
        <v>45950</v>
      </c>
      <c r="P978" s="1" t="s">
        <v>2126</v>
      </c>
      <c r="Q978" s="65" t="s">
        <v>2339</v>
      </c>
    </row>
    <row r="979" ht="40.95" customHeight="1" spans="2:17">
      <c r="B979" s="1">
        <v>978</v>
      </c>
      <c r="C979" s="24" t="s">
        <v>2405</v>
      </c>
      <c r="D979" s="24" t="s">
        <v>1500</v>
      </c>
      <c r="E979" s="25">
        <v>198000</v>
      </c>
      <c r="F979" s="24" t="s">
        <v>2406</v>
      </c>
      <c r="G979" s="24" t="s">
        <v>2407</v>
      </c>
      <c r="H979" s="1" t="s">
        <v>721</v>
      </c>
      <c r="I979" s="1"/>
      <c r="J979" s="29">
        <v>45741</v>
      </c>
      <c r="K979" s="1"/>
      <c r="L979" s="27"/>
      <c r="M979" s="27"/>
      <c r="N979" s="1">
        <v>2</v>
      </c>
      <c r="O979" s="45">
        <v>45950</v>
      </c>
      <c r="P979" s="1" t="s">
        <v>2126</v>
      </c>
      <c r="Q979" s="65" t="s">
        <v>1796</v>
      </c>
    </row>
    <row r="980" ht="37.05" customHeight="1" spans="2:17">
      <c r="B980" s="1">
        <v>979</v>
      </c>
      <c r="C980" s="24" t="s">
        <v>2408</v>
      </c>
      <c r="D980" s="24" t="s">
        <v>1465</v>
      </c>
      <c r="E980" s="33"/>
      <c r="F980" s="24" t="s">
        <v>1173</v>
      </c>
      <c r="G980" s="24" t="s">
        <v>2409</v>
      </c>
      <c r="H980" s="1" t="s">
        <v>721</v>
      </c>
      <c r="I980" s="1"/>
      <c r="J980" s="29">
        <v>45797</v>
      </c>
      <c r="K980" s="1"/>
      <c r="L980" s="27"/>
      <c r="M980" s="27"/>
      <c r="N980" s="1">
        <v>3</v>
      </c>
      <c r="O980" s="45">
        <v>45950</v>
      </c>
      <c r="P980" s="1" t="s">
        <v>2126</v>
      </c>
      <c r="Q980" s="65" t="s">
        <v>1703</v>
      </c>
    </row>
    <row r="981" ht="37.95" customHeight="1" spans="2:17">
      <c r="B981" s="1">
        <v>980</v>
      </c>
      <c r="C981" s="24" t="s">
        <v>2410</v>
      </c>
      <c r="D981" s="24" t="s">
        <v>2411</v>
      </c>
      <c r="E981" s="33"/>
      <c r="F981" s="24" t="s">
        <v>1619</v>
      </c>
      <c r="G981" s="24" t="s">
        <v>2412</v>
      </c>
      <c r="H981" s="1"/>
      <c r="I981" s="1"/>
      <c r="J981" s="29">
        <v>45839</v>
      </c>
      <c r="K981" s="1">
        <v>10</v>
      </c>
      <c r="L981" s="27"/>
      <c r="M981" s="27"/>
      <c r="N981" s="1">
        <v>2</v>
      </c>
      <c r="O981" s="45">
        <v>45957</v>
      </c>
      <c r="P981" s="1" t="s">
        <v>1632</v>
      </c>
      <c r="Q981" s="65" t="s">
        <v>2413</v>
      </c>
    </row>
    <row r="982" ht="39" customHeight="1" spans="2:17">
      <c r="B982" s="1">
        <v>981</v>
      </c>
      <c r="C982" s="24" t="s">
        <v>2414</v>
      </c>
      <c r="D982" s="24" t="s">
        <v>2415</v>
      </c>
      <c r="E982" s="25">
        <v>507.5</v>
      </c>
      <c r="F982" s="24" t="s">
        <v>1173</v>
      </c>
      <c r="G982" s="24" t="s">
        <v>2416</v>
      </c>
      <c r="H982" s="1" t="s">
        <v>721</v>
      </c>
      <c r="I982" s="1"/>
      <c r="J982" s="29">
        <v>45925</v>
      </c>
      <c r="K982" s="1">
        <v>1.5</v>
      </c>
      <c r="L982" s="27"/>
      <c r="M982" s="27"/>
      <c r="N982" s="1">
        <v>3</v>
      </c>
      <c r="O982" s="45">
        <v>45996</v>
      </c>
      <c r="P982" s="1" t="s">
        <v>2126</v>
      </c>
      <c r="Q982" s="65" t="s">
        <v>2417</v>
      </c>
    </row>
    <row r="983" ht="37.05" customHeight="1" spans="2:17">
      <c r="B983" s="1">
        <v>982</v>
      </c>
      <c r="C983" s="24" t="s">
        <v>2418</v>
      </c>
      <c r="D983" s="24" t="s">
        <v>2419</v>
      </c>
      <c r="E983" s="33"/>
      <c r="F983" s="24" t="s">
        <v>2420</v>
      </c>
      <c r="G983" s="24" t="s">
        <v>2421</v>
      </c>
      <c r="H983" s="1"/>
      <c r="I983" s="1"/>
      <c r="J983" s="29">
        <v>45891</v>
      </c>
      <c r="K983" s="1"/>
      <c r="L983" s="27"/>
      <c r="M983" s="27"/>
      <c r="N983" s="1">
        <v>3</v>
      </c>
      <c r="O983" s="45">
        <v>46001</v>
      </c>
      <c r="P983" s="1" t="s">
        <v>1616</v>
      </c>
      <c r="Q983" s="65" t="s">
        <v>2422</v>
      </c>
    </row>
    <row r="984" ht="43.95" customHeight="1" spans="2:17">
      <c r="B984" s="1">
        <v>983</v>
      </c>
      <c r="C984" s="24" t="s">
        <v>2423</v>
      </c>
      <c r="D984" s="24" t="s">
        <v>1281</v>
      </c>
      <c r="E984" s="25">
        <v>50</v>
      </c>
      <c r="F984" s="24" t="s">
        <v>1901</v>
      </c>
      <c r="G984" s="24" t="s">
        <v>2424</v>
      </c>
      <c r="H984" s="1"/>
      <c r="I984" s="1"/>
      <c r="J984" s="29">
        <v>45887</v>
      </c>
      <c r="K984" s="1"/>
      <c r="L984" s="27"/>
      <c r="M984" s="27"/>
      <c r="N984" s="1">
        <v>2</v>
      </c>
      <c r="O984" s="45">
        <v>46013</v>
      </c>
      <c r="P984" s="1" t="s">
        <v>1623</v>
      </c>
      <c r="Q984" s="65" t="s">
        <v>2160</v>
      </c>
    </row>
    <row r="985" ht="52.05" customHeight="1" spans="2:17">
      <c r="B985" s="1">
        <v>984</v>
      </c>
      <c r="C985" s="24" t="s">
        <v>2425</v>
      </c>
      <c r="D985" s="24" t="s">
        <v>1281</v>
      </c>
      <c r="E985" s="25">
        <v>484.8</v>
      </c>
      <c r="F985" s="24" t="s">
        <v>1901</v>
      </c>
      <c r="G985" s="24" t="s">
        <v>2426</v>
      </c>
      <c r="H985" s="1"/>
      <c r="I985" s="1"/>
      <c r="J985" s="29">
        <v>45919</v>
      </c>
      <c r="K985" s="1"/>
      <c r="L985" s="27"/>
      <c r="M985" s="27"/>
      <c r="N985" s="1">
        <v>2</v>
      </c>
      <c r="O985" s="45">
        <v>46013</v>
      </c>
      <c r="P985" s="1" t="s">
        <v>1623</v>
      </c>
      <c r="Q985" s="65" t="s">
        <v>2160</v>
      </c>
    </row>
    <row r="986" ht="55.95" customHeight="1" spans="2:17">
      <c r="B986" s="1">
        <v>985</v>
      </c>
      <c r="C986" s="24" t="s">
        <v>2427</v>
      </c>
      <c r="D986" s="24" t="s">
        <v>2428</v>
      </c>
      <c r="E986" s="25">
        <v>49500</v>
      </c>
      <c r="F986" s="24" t="s">
        <v>2429</v>
      </c>
      <c r="G986" s="24" t="s">
        <v>2430</v>
      </c>
      <c r="H986" s="1" t="s">
        <v>884</v>
      </c>
      <c r="I986" s="1" t="s">
        <v>1457</v>
      </c>
      <c r="J986" s="29">
        <v>45979</v>
      </c>
      <c r="K986" s="1"/>
      <c r="L986" s="27"/>
      <c r="M986" s="27"/>
      <c r="N986" s="1">
        <v>3</v>
      </c>
      <c r="O986" s="45">
        <v>46026</v>
      </c>
      <c r="P986" s="1" t="s">
        <v>1457</v>
      </c>
      <c r="Q986" s="65" t="s">
        <v>2431</v>
      </c>
    </row>
    <row r="987" ht="54" customHeight="1" spans="2:17">
      <c r="B987" s="1">
        <v>986</v>
      </c>
      <c r="C987" s="24" t="s">
        <v>2432</v>
      </c>
      <c r="D987" s="24" t="s">
        <v>2433</v>
      </c>
      <c r="E987" s="25">
        <v>1637300</v>
      </c>
      <c r="F987" s="24" t="s">
        <v>2318</v>
      </c>
      <c r="G987" s="24" t="s">
        <v>2434</v>
      </c>
      <c r="H987" s="1" t="s">
        <v>884</v>
      </c>
      <c r="I987" s="1" t="s">
        <v>1472</v>
      </c>
      <c r="J987" s="29">
        <v>45962</v>
      </c>
      <c r="K987" s="1">
        <v>71</v>
      </c>
      <c r="L987" s="27"/>
      <c r="M987" s="27"/>
      <c r="N987" s="1">
        <v>2</v>
      </c>
      <c r="O987" s="45">
        <v>46026</v>
      </c>
      <c r="P987" s="1" t="s">
        <v>1472</v>
      </c>
      <c r="Q987" s="65" t="s">
        <v>2435</v>
      </c>
    </row>
    <row r="988" ht="52.95" customHeight="1" spans="2:17">
      <c r="B988" s="1">
        <v>987</v>
      </c>
      <c r="C988" s="24" t="s">
        <v>2436</v>
      </c>
      <c r="D988" s="24" t="s">
        <v>2437</v>
      </c>
      <c r="E988" s="25">
        <v>793500</v>
      </c>
      <c r="F988" s="24" t="s">
        <v>2318</v>
      </c>
      <c r="G988" s="24" t="s">
        <v>2434</v>
      </c>
      <c r="H988" s="1" t="s">
        <v>884</v>
      </c>
      <c r="I988" s="1" t="s">
        <v>1472</v>
      </c>
      <c r="J988" s="29">
        <v>46014</v>
      </c>
      <c r="K988" s="1">
        <v>66</v>
      </c>
      <c r="L988" s="27"/>
      <c r="M988" s="27"/>
      <c r="N988" s="1">
        <v>2</v>
      </c>
      <c r="O988" s="45">
        <v>46026</v>
      </c>
      <c r="P988" s="1" t="s">
        <v>1472</v>
      </c>
      <c r="Q988" s="65" t="s">
        <v>2438</v>
      </c>
    </row>
    <row r="989" ht="88.2" customHeight="1" spans="2:17">
      <c r="B989" s="1">
        <v>988</v>
      </c>
      <c r="C989" s="24" t="s">
        <v>2439</v>
      </c>
      <c r="D989" s="24" t="s">
        <v>1281</v>
      </c>
      <c r="E989" s="25">
        <v>900000</v>
      </c>
      <c r="F989" s="24" t="s">
        <v>2440</v>
      </c>
      <c r="G989" s="24" t="s">
        <v>2441</v>
      </c>
      <c r="H989" s="1" t="s">
        <v>708</v>
      </c>
      <c r="I989" s="1"/>
      <c r="J989" s="29">
        <v>45672</v>
      </c>
      <c r="K989" s="1"/>
      <c r="L989" s="27"/>
      <c r="M989" s="27"/>
      <c r="N989" s="1">
        <v>3</v>
      </c>
      <c r="O989" s="45">
        <v>46034</v>
      </c>
      <c r="P989" s="1" t="s">
        <v>1623</v>
      </c>
      <c r="Q989" s="65" t="s">
        <v>2442</v>
      </c>
    </row>
    <row r="990" ht="94.95" customHeight="1" spans="2:17">
      <c r="B990" s="1">
        <v>989</v>
      </c>
      <c r="C990" s="24" t="s">
        <v>2443</v>
      </c>
      <c r="D990" s="24" t="s">
        <v>1061</v>
      </c>
      <c r="E990" s="25">
        <v>90222</v>
      </c>
      <c r="F990" s="24" t="s">
        <v>2444</v>
      </c>
      <c r="G990" s="24" t="s">
        <v>2445</v>
      </c>
      <c r="H990" s="1" t="s">
        <v>708</v>
      </c>
      <c r="I990" s="1" t="s">
        <v>1692</v>
      </c>
      <c r="J990" s="29">
        <v>45750</v>
      </c>
      <c r="K990" s="1"/>
      <c r="L990" s="27"/>
      <c r="M990" s="27"/>
      <c r="N990" s="1">
        <v>2</v>
      </c>
      <c r="O990" s="45">
        <v>46034</v>
      </c>
      <c r="P990" s="1" t="s">
        <v>1623</v>
      </c>
      <c r="Q990" s="65" t="s">
        <v>2239</v>
      </c>
    </row>
    <row r="991" ht="55.05" customHeight="1" spans="2:17">
      <c r="B991" s="1">
        <v>990</v>
      </c>
      <c r="C991" s="24" t="s">
        <v>2446</v>
      </c>
      <c r="D991" s="24" t="s">
        <v>1945</v>
      </c>
      <c r="E991" s="33"/>
      <c r="F991" s="24" t="s">
        <v>1173</v>
      </c>
      <c r="G991" s="24" t="s">
        <v>2447</v>
      </c>
      <c r="H991" s="1" t="s">
        <v>1457</v>
      </c>
      <c r="I991" s="1"/>
      <c r="J991" s="29">
        <v>46022</v>
      </c>
      <c r="K991" s="1"/>
      <c r="L991" s="27"/>
      <c r="M991" s="27"/>
      <c r="N991" s="1">
        <v>1</v>
      </c>
      <c r="O991" s="45">
        <v>46034</v>
      </c>
      <c r="P991" s="1" t="s">
        <v>2112</v>
      </c>
      <c r="Q991" s="65" t="s">
        <v>1946</v>
      </c>
    </row>
    <row r="992" ht="39" spans="2:17">
      <c r="B992" s="1">
        <v>991</v>
      </c>
      <c r="C992" s="24" t="s">
        <v>2448</v>
      </c>
      <c r="D992" s="24" t="s">
        <v>2449</v>
      </c>
      <c r="E992" s="33"/>
      <c r="F992" s="24" t="s">
        <v>2450</v>
      </c>
      <c r="G992" s="24" t="s">
        <v>2401</v>
      </c>
      <c r="H992" s="1" t="s">
        <v>2030</v>
      </c>
      <c r="I992" s="1" t="s">
        <v>2031</v>
      </c>
      <c r="J992" s="29">
        <v>45596</v>
      </c>
      <c r="K992" s="1"/>
      <c r="L992" s="27"/>
      <c r="M992" s="27"/>
      <c r="N992" s="1">
        <v>5</v>
      </c>
      <c r="O992" s="45">
        <v>46038</v>
      </c>
      <c r="P992" s="1" t="s">
        <v>1613</v>
      </c>
      <c r="Q992" s="65" t="s">
        <v>2451</v>
      </c>
    </row>
    <row r="993" ht="31.8" customHeight="1" spans="2:17">
      <c r="B993" s="1">
        <v>992</v>
      </c>
      <c r="C993" s="24" t="s">
        <v>2452</v>
      </c>
      <c r="D993" s="24" t="s">
        <v>1029</v>
      </c>
      <c r="E993" s="25">
        <v>596500</v>
      </c>
      <c r="F993" s="24" t="s">
        <v>2322</v>
      </c>
      <c r="G993" s="24" t="s">
        <v>2323</v>
      </c>
      <c r="H993" s="1" t="s">
        <v>1067</v>
      </c>
      <c r="I993" s="1"/>
      <c r="J993" s="29">
        <v>46026</v>
      </c>
      <c r="K993" s="1">
        <v>19.5</v>
      </c>
      <c r="L993" s="27"/>
      <c r="M993" s="27"/>
      <c r="N993" s="1">
        <v>2</v>
      </c>
      <c r="O993" s="45">
        <v>46044</v>
      </c>
      <c r="P993" s="1" t="s">
        <v>1693</v>
      </c>
      <c r="Q993" s="65" t="s">
        <v>1696</v>
      </c>
    </row>
    <row r="994" ht="78" customHeight="1" spans="2:17">
      <c r="B994" s="1">
        <v>993</v>
      </c>
      <c r="C994" s="24" t="s">
        <v>2453</v>
      </c>
      <c r="D994" s="24" t="s">
        <v>2454</v>
      </c>
      <c r="E994" s="25"/>
      <c r="F994" s="24" t="s">
        <v>1802</v>
      </c>
      <c r="G994" s="24" t="s">
        <v>2111</v>
      </c>
      <c r="H994" s="1"/>
      <c r="I994" s="1"/>
      <c r="J994" s="29">
        <v>45870</v>
      </c>
      <c r="K994" s="1"/>
      <c r="L994" s="27"/>
      <c r="M994" s="27"/>
      <c r="N994" s="1">
        <v>2</v>
      </c>
      <c r="O994" s="45">
        <v>46038</v>
      </c>
      <c r="P994" s="1" t="s">
        <v>1457</v>
      </c>
      <c r="Q994" s="65" t="s">
        <v>2455</v>
      </c>
    </row>
    <row r="995" ht="28.8" customHeight="1" spans="2:17">
      <c r="B995" s="1">
        <v>994</v>
      </c>
      <c r="C995" s="24" t="s">
        <v>2456</v>
      </c>
      <c r="D995" s="24" t="s">
        <v>2457</v>
      </c>
      <c r="E995" s="25">
        <v>15</v>
      </c>
      <c r="F995" s="24" t="s">
        <v>1901</v>
      </c>
      <c r="G995" s="24" t="s">
        <v>2458</v>
      </c>
      <c r="H995" s="1"/>
      <c r="I995" s="1"/>
      <c r="J995" s="29" t="s">
        <v>232</v>
      </c>
      <c r="K995" s="1"/>
      <c r="L995" s="27"/>
      <c r="M995" s="27"/>
      <c r="N995" s="1">
        <v>3</v>
      </c>
      <c r="O995" s="45">
        <v>46065</v>
      </c>
      <c r="P995" s="1" t="s">
        <v>1623</v>
      </c>
      <c r="Q995" s="65" t="s">
        <v>1719</v>
      </c>
    </row>
    <row r="996" ht="39" spans="2:17">
      <c r="B996" s="1">
        <v>995</v>
      </c>
      <c r="C996" s="24" t="s">
        <v>2459</v>
      </c>
      <c r="D996" s="24" t="s">
        <v>546</v>
      </c>
      <c r="E996" s="25"/>
      <c r="F996" s="24" t="s">
        <v>2460</v>
      </c>
      <c r="G996" s="24" t="s">
        <v>2461</v>
      </c>
      <c r="H996" s="1"/>
      <c r="I996" s="1"/>
      <c r="J996" s="29" t="s">
        <v>2462</v>
      </c>
      <c r="K996" s="1">
        <v>3.4988</v>
      </c>
      <c r="L996" s="27"/>
      <c r="M996" s="27"/>
      <c r="N996" s="1">
        <v>1</v>
      </c>
      <c r="O996" s="45">
        <v>46105</v>
      </c>
      <c r="P996" s="1" t="s">
        <v>1949</v>
      </c>
      <c r="Q996" s="65" t="s">
        <v>1739</v>
      </c>
    </row>
    <row r="997" ht="26" spans="2:17">
      <c r="B997" s="1">
        <v>996</v>
      </c>
      <c r="C997" s="24" t="s">
        <v>2463</v>
      </c>
      <c r="D997" s="24" t="s">
        <v>546</v>
      </c>
      <c r="E997" s="25"/>
      <c r="F997" s="24" t="s">
        <v>2460</v>
      </c>
      <c r="G997" s="24" t="s">
        <v>2461</v>
      </c>
      <c r="H997" s="1"/>
      <c r="I997" s="1"/>
      <c r="J997" s="29" t="s">
        <v>2462</v>
      </c>
      <c r="K997" s="1">
        <v>3.106</v>
      </c>
      <c r="L997" s="27"/>
      <c r="M997" s="27"/>
      <c r="N997" s="1">
        <v>1</v>
      </c>
      <c r="O997" s="45">
        <v>46105</v>
      </c>
      <c r="P997" s="1" t="s">
        <v>1949</v>
      </c>
      <c r="Q997" s="65" t="s">
        <v>1739</v>
      </c>
    </row>
    <row r="998" ht="26" spans="2:17">
      <c r="B998" s="1">
        <v>997</v>
      </c>
      <c r="C998" s="24" t="s">
        <v>2464</v>
      </c>
      <c r="D998" s="24" t="s">
        <v>546</v>
      </c>
      <c r="E998" s="25"/>
      <c r="F998" s="24" t="s">
        <v>2460</v>
      </c>
      <c r="G998" s="24" t="s">
        <v>2461</v>
      </c>
      <c r="H998" s="1"/>
      <c r="I998" s="1"/>
      <c r="J998" s="29" t="s">
        <v>2462</v>
      </c>
      <c r="K998" s="1">
        <v>5.4894</v>
      </c>
      <c r="L998" s="27"/>
      <c r="M998" s="27"/>
      <c r="N998" s="1">
        <v>1</v>
      </c>
      <c r="O998" s="45">
        <v>46105</v>
      </c>
      <c r="P998" s="1" t="s">
        <v>1949</v>
      </c>
      <c r="Q998" s="65" t="s">
        <v>1739</v>
      </c>
    </row>
    <row r="999" ht="26" spans="2:17">
      <c r="B999" s="1">
        <v>998</v>
      </c>
      <c r="C999" s="24" t="s">
        <v>2465</v>
      </c>
      <c r="D999" s="24" t="s">
        <v>546</v>
      </c>
      <c r="E999" s="25"/>
      <c r="F999" s="24" t="s">
        <v>2460</v>
      </c>
      <c r="G999" s="24" t="s">
        <v>2461</v>
      </c>
      <c r="H999" s="1"/>
      <c r="I999" s="1"/>
      <c r="J999" s="29" t="s">
        <v>2462</v>
      </c>
      <c r="K999" s="1">
        <v>1.9</v>
      </c>
      <c r="L999" s="27"/>
      <c r="M999" s="27"/>
      <c r="N999" s="1">
        <v>1</v>
      </c>
      <c r="O999" s="45">
        <v>46105</v>
      </c>
      <c r="P999" s="1" t="s">
        <v>1949</v>
      </c>
      <c r="Q999" s="65" t="s">
        <v>1739</v>
      </c>
    </row>
    <row r="1000" ht="26" spans="2:17">
      <c r="B1000" s="1">
        <v>999</v>
      </c>
      <c r="C1000" s="24" t="s">
        <v>2466</v>
      </c>
      <c r="D1000" s="24" t="s">
        <v>546</v>
      </c>
      <c r="E1000" s="25"/>
      <c r="F1000" s="24" t="s">
        <v>2460</v>
      </c>
      <c r="G1000" s="24" t="s">
        <v>2461</v>
      </c>
      <c r="H1000" s="1"/>
      <c r="I1000" s="1"/>
      <c r="J1000" s="29" t="s">
        <v>2462</v>
      </c>
      <c r="K1000" s="1">
        <v>2.8985</v>
      </c>
      <c r="L1000" s="27"/>
      <c r="M1000" s="27"/>
      <c r="N1000" s="1">
        <v>1</v>
      </c>
      <c r="O1000" s="45">
        <v>46105</v>
      </c>
      <c r="P1000" s="1" t="s">
        <v>1949</v>
      </c>
      <c r="Q1000" s="65" t="s">
        <v>1739</v>
      </c>
    </row>
    <row r="1001" ht="26" spans="2:17">
      <c r="B1001" s="1">
        <v>1000</v>
      </c>
      <c r="C1001" s="24" t="s">
        <v>2467</v>
      </c>
      <c r="D1001" s="24" t="s">
        <v>546</v>
      </c>
      <c r="E1001" s="25"/>
      <c r="F1001" s="24" t="s">
        <v>2460</v>
      </c>
      <c r="G1001" s="24" t="s">
        <v>2461</v>
      </c>
      <c r="H1001" s="1"/>
      <c r="I1001" s="1"/>
      <c r="J1001" s="29" t="s">
        <v>2462</v>
      </c>
      <c r="K1001" s="1">
        <v>7.2004</v>
      </c>
      <c r="L1001" s="27"/>
      <c r="M1001" s="27"/>
      <c r="N1001" s="1">
        <v>1</v>
      </c>
      <c r="O1001" s="45">
        <v>46105</v>
      </c>
      <c r="P1001" s="1" t="s">
        <v>1949</v>
      </c>
      <c r="Q1001" s="65" t="s">
        <v>1739</v>
      </c>
    </row>
    <row r="1002" ht="26" spans="2:17">
      <c r="B1002" s="1">
        <v>1001</v>
      </c>
      <c r="C1002" s="24" t="s">
        <v>2468</v>
      </c>
      <c r="D1002" s="24" t="s">
        <v>546</v>
      </c>
      <c r="E1002" s="25"/>
      <c r="F1002" s="24" t="s">
        <v>2460</v>
      </c>
      <c r="G1002" s="24" t="s">
        <v>2461</v>
      </c>
      <c r="H1002" s="1"/>
      <c r="I1002" s="1"/>
      <c r="J1002" s="29" t="s">
        <v>2462</v>
      </c>
      <c r="K1002" s="1">
        <v>15.5411</v>
      </c>
      <c r="L1002" s="27"/>
      <c r="M1002" s="27"/>
      <c r="N1002" s="1">
        <v>1</v>
      </c>
      <c r="O1002" s="45">
        <v>46105</v>
      </c>
      <c r="P1002" s="1" t="s">
        <v>1949</v>
      </c>
      <c r="Q1002" s="65" t="s">
        <v>1739</v>
      </c>
    </row>
    <row r="1003" ht="26" spans="2:17">
      <c r="B1003" s="1">
        <v>1002</v>
      </c>
      <c r="C1003" s="24" t="s">
        <v>2469</v>
      </c>
      <c r="D1003" s="24" t="s">
        <v>546</v>
      </c>
      <c r="E1003" s="25"/>
      <c r="F1003" s="24" t="s">
        <v>2460</v>
      </c>
      <c r="G1003" s="24" t="s">
        <v>2461</v>
      </c>
      <c r="H1003" s="1"/>
      <c r="I1003" s="1"/>
      <c r="J1003" s="29" t="s">
        <v>2462</v>
      </c>
      <c r="K1003" s="1">
        <v>13.075</v>
      </c>
      <c r="L1003" s="27"/>
      <c r="M1003" s="27"/>
      <c r="N1003" s="1">
        <v>1</v>
      </c>
      <c r="O1003" s="45">
        <v>46105</v>
      </c>
      <c r="P1003" s="1" t="s">
        <v>1949</v>
      </c>
      <c r="Q1003" s="65" t="s">
        <v>1739</v>
      </c>
    </row>
    <row r="1004" ht="26" spans="2:17">
      <c r="B1004" s="1">
        <v>1003</v>
      </c>
      <c r="C1004" s="24" t="s">
        <v>2470</v>
      </c>
      <c r="D1004" s="24" t="s">
        <v>546</v>
      </c>
      <c r="E1004" s="25"/>
      <c r="F1004" s="24" t="s">
        <v>2460</v>
      </c>
      <c r="G1004" s="24" t="s">
        <v>2461</v>
      </c>
      <c r="H1004" s="1"/>
      <c r="I1004" s="1"/>
      <c r="J1004" s="29" t="s">
        <v>2462</v>
      </c>
      <c r="K1004" s="1">
        <v>19.375</v>
      </c>
      <c r="L1004" s="27"/>
      <c r="M1004" s="27"/>
      <c r="N1004" s="1">
        <v>1</v>
      </c>
      <c r="O1004" s="45">
        <v>46105</v>
      </c>
      <c r="P1004" s="1" t="s">
        <v>1949</v>
      </c>
      <c r="Q1004" s="65" t="s">
        <v>1739</v>
      </c>
    </row>
    <row r="1005" ht="26" spans="2:17">
      <c r="B1005" s="1">
        <v>1004</v>
      </c>
      <c r="C1005" s="24" t="s">
        <v>2471</v>
      </c>
      <c r="D1005" s="24" t="s">
        <v>546</v>
      </c>
      <c r="E1005" s="25"/>
      <c r="F1005" s="24" t="s">
        <v>2460</v>
      </c>
      <c r="G1005" s="24" t="s">
        <v>2461</v>
      </c>
      <c r="H1005" s="1"/>
      <c r="I1005" s="1"/>
      <c r="J1005" s="29" t="s">
        <v>2462</v>
      </c>
      <c r="K1005" s="1">
        <v>6.7317</v>
      </c>
      <c r="L1005" s="27"/>
      <c r="M1005" s="27"/>
      <c r="N1005" s="1">
        <v>1</v>
      </c>
      <c r="O1005" s="45">
        <v>46105</v>
      </c>
      <c r="P1005" s="1" t="s">
        <v>1949</v>
      </c>
      <c r="Q1005" s="65" t="s">
        <v>1739</v>
      </c>
    </row>
    <row r="1006" ht="26" spans="2:17">
      <c r="B1006" s="1">
        <v>1005</v>
      </c>
      <c r="C1006" s="24" t="s">
        <v>2472</v>
      </c>
      <c r="D1006" s="24" t="s">
        <v>546</v>
      </c>
      <c r="E1006" s="25"/>
      <c r="F1006" s="24" t="s">
        <v>2460</v>
      </c>
      <c r="G1006" s="24" t="s">
        <v>2461</v>
      </c>
      <c r="H1006" s="1"/>
      <c r="I1006" s="1"/>
      <c r="J1006" s="29" t="s">
        <v>2462</v>
      </c>
      <c r="K1006" s="1">
        <v>7.7974</v>
      </c>
      <c r="L1006" s="27"/>
      <c r="M1006" s="27"/>
      <c r="N1006" s="1">
        <v>1</v>
      </c>
      <c r="O1006" s="45">
        <v>46105</v>
      </c>
      <c r="P1006" s="1" t="s">
        <v>1949</v>
      </c>
      <c r="Q1006" s="65" t="s">
        <v>1739</v>
      </c>
    </row>
    <row r="1007" ht="26" spans="2:17">
      <c r="B1007" s="1">
        <v>1006</v>
      </c>
      <c r="C1007" s="24" t="s">
        <v>2473</v>
      </c>
      <c r="D1007" s="24" t="s">
        <v>546</v>
      </c>
      <c r="E1007" s="25"/>
      <c r="F1007" s="24" t="s">
        <v>2460</v>
      </c>
      <c r="G1007" s="24" t="s">
        <v>2461</v>
      </c>
      <c r="H1007" s="1"/>
      <c r="I1007" s="1"/>
      <c r="J1007" s="29" t="s">
        <v>2462</v>
      </c>
      <c r="K1007" s="1">
        <v>52.3823</v>
      </c>
      <c r="L1007" s="27"/>
      <c r="M1007" s="27"/>
      <c r="N1007" s="1">
        <v>1</v>
      </c>
      <c r="O1007" s="45">
        <v>46105</v>
      </c>
      <c r="P1007" s="1" t="s">
        <v>1949</v>
      </c>
      <c r="Q1007" s="65" t="s">
        <v>1739</v>
      </c>
    </row>
    <row r="1008" ht="42.6" customHeight="1" spans="2:17">
      <c r="B1008" s="1">
        <v>1007</v>
      </c>
      <c r="C1008" s="24" t="s">
        <v>2474</v>
      </c>
      <c r="D1008" s="24" t="s">
        <v>546</v>
      </c>
      <c r="E1008" s="25"/>
      <c r="F1008" s="24" t="s">
        <v>2460</v>
      </c>
      <c r="G1008" s="24" t="s">
        <v>2461</v>
      </c>
      <c r="H1008" s="1"/>
      <c r="I1008" s="1"/>
      <c r="J1008" s="29" t="s">
        <v>2462</v>
      </c>
      <c r="K1008" s="1">
        <v>73.812</v>
      </c>
      <c r="L1008" s="27"/>
      <c r="M1008" s="27"/>
      <c r="N1008" s="1">
        <v>1</v>
      </c>
      <c r="O1008" s="45">
        <v>46105</v>
      </c>
      <c r="P1008" s="1" t="s">
        <v>1949</v>
      </c>
      <c r="Q1008" s="65" t="s">
        <v>1739</v>
      </c>
    </row>
    <row r="1009" ht="39" spans="2:17">
      <c r="B1009" s="1">
        <v>1008</v>
      </c>
      <c r="C1009" s="24" t="s">
        <v>2475</v>
      </c>
      <c r="D1009" s="24" t="s">
        <v>2476</v>
      </c>
      <c r="E1009" s="25"/>
      <c r="F1009" s="24" t="s">
        <v>2477</v>
      </c>
      <c r="G1009" s="24" t="s">
        <v>2478</v>
      </c>
      <c r="H1009" s="1" t="s">
        <v>2479</v>
      </c>
      <c r="I1009" s="1" t="s">
        <v>2480</v>
      </c>
      <c r="J1009" s="29">
        <v>46079</v>
      </c>
      <c r="K1009" s="1"/>
      <c r="L1009" s="27"/>
      <c r="M1009" s="27"/>
      <c r="N1009" s="1">
        <v>6</v>
      </c>
      <c r="O1009" s="45">
        <v>46112</v>
      </c>
      <c r="P1009" s="1" t="s">
        <v>1457</v>
      </c>
      <c r="Q1009" s="65" t="s">
        <v>2481</v>
      </c>
    </row>
    <row r="1010" ht="26" spans="2:17">
      <c r="B1010" s="1">
        <v>1009</v>
      </c>
      <c r="C1010" s="24" t="s">
        <v>2482</v>
      </c>
      <c r="D1010" s="24" t="s">
        <v>2483</v>
      </c>
      <c r="E1010" s="25"/>
      <c r="F1010" s="24" t="s">
        <v>2484</v>
      </c>
      <c r="G1010" s="24" t="s">
        <v>2485</v>
      </c>
      <c r="H1010" s="1"/>
      <c r="I1010" s="1"/>
      <c r="J1010" s="29">
        <v>45824</v>
      </c>
      <c r="K1010" s="1"/>
      <c r="L1010" s="27"/>
      <c r="M1010" s="27"/>
      <c r="N1010" s="1">
        <v>2</v>
      </c>
      <c r="O1010" s="45">
        <v>46112</v>
      </c>
      <c r="P1010" s="1" t="s">
        <v>1896</v>
      </c>
      <c r="Q1010" s="65" t="s">
        <v>2486</v>
      </c>
    </row>
    <row r="1011" ht="39" spans="2:17">
      <c r="B1011" s="1">
        <v>1010</v>
      </c>
      <c r="C1011" s="24" t="s">
        <v>2487</v>
      </c>
      <c r="D1011" s="24" t="s">
        <v>2488</v>
      </c>
      <c r="E1011" s="25"/>
      <c r="F1011" s="24" t="s">
        <v>1802</v>
      </c>
      <c r="G1011" s="24" t="s">
        <v>1802</v>
      </c>
      <c r="H1011" s="1"/>
      <c r="I1011" s="1"/>
      <c r="J1011" s="29">
        <v>46091</v>
      </c>
      <c r="K1011" s="1">
        <v>22</v>
      </c>
      <c r="L1011" s="27"/>
      <c r="M1011" s="27"/>
      <c r="N1011" s="1">
        <v>2</v>
      </c>
      <c r="O1011" s="45">
        <v>46112</v>
      </c>
      <c r="P1011" s="1" t="s">
        <v>1896</v>
      </c>
      <c r="Q1011" s="65" t="s">
        <v>2489</v>
      </c>
    </row>
    <row r="1012" ht="26" spans="2:17">
      <c r="B1012" s="1">
        <v>1011</v>
      </c>
      <c r="C1012" s="24" t="s">
        <v>2490</v>
      </c>
      <c r="D1012" s="24" t="s">
        <v>1683</v>
      </c>
      <c r="E1012" s="25"/>
      <c r="F1012" s="24" t="s">
        <v>2491</v>
      </c>
      <c r="G1012" s="24" t="s">
        <v>2492</v>
      </c>
      <c r="H1012" s="1"/>
      <c r="I1012" s="1"/>
      <c r="J1012" s="29">
        <v>46034</v>
      </c>
      <c r="K1012" s="1">
        <v>9.76</v>
      </c>
      <c r="L1012" s="27"/>
      <c r="M1012" s="27"/>
      <c r="N1012" s="1">
        <v>2</v>
      </c>
      <c r="O1012" s="45">
        <v>46112</v>
      </c>
      <c r="P1012" s="1" t="s">
        <v>1896</v>
      </c>
      <c r="Q1012" s="65" t="s">
        <v>1684</v>
      </c>
    </row>
    <row r="1013" ht="91" spans="2:17">
      <c r="B1013" s="1">
        <v>1012</v>
      </c>
      <c r="C1013" s="24" t="s">
        <v>2493</v>
      </c>
      <c r="D1013" s="24" t="s">
        <v>1281</v>
      </c>
      <c r="E1013" s="25"/>
      <c r="F1013" s="24" t="s">
        <v>2494</v>
      </c>
      <c r="G1013" s="24" t="s">
        <v>2495</v>
      </c>
      <c r="H1013" s="1" t="s">
        <v>708</v>
      </c>
      <c r="I1013" s="1"/>
      <c r="J1013" s="29">
        <v>46109</v>
      </c>
      <c r="K1013" s="1"/>
      <c r="L1013" s="27"/>
      <c r="M1013" s="27"/>
      <c r="N1013" s="1">
        <v>4</v>
      </c>
      <c r="O1013" s="45">
        <v>46121</v>
      </c>
      <c r="P1013" s="1" t="s">
        <v>1896</v>
      </c>
      <c r="Q1013" s="65" t="s">
        <v>2160</v>
      </c>
    </row>
    <row r="1014" ht="39" spans="2:17">
      <c r="B1014" s="1">
        <v>1013</v>
      </c>
      <c r="C1014" s="24" t="s">
        <v>2496</v>
      </c>
      <c r="D1014" s="24" t="s">
        <v>2302</v>
      </c>
      <c r="E1014" s="25"/>
      <c r="F1014" s="24" t="s">
        <v>693</v>
      </c>
      <c r="G1014" s="24" t="s">
        <v>2497</v>
      </c>
      <c r="H1014" s="1" t="s">
        <v>884</v>
      </c>
      <c r="I1014" s="1"/>
      <c r="J1014" s="29">
        <v>45978</v>
      </c>
      <c r="K1014" s="1"/>
      <c r="L1014" s="27"/>
      <c r="M1014" s="27"/>
      <c r="N1014" s="1">
        <v>2</v>
      </c>
      <c r="O1014" s="45">
        <v>46135</v>
      </c>
      <c r="P1014" s="1" t="s">
        <v>2287</v>
      </c>
      <c r="Q1014" s="65" t="s">
        <v>2305</v>
      </c>
    </row>
    <row r="1015" ht="31.8" customHeight="1" spans="2:17">
      <c r="B1015" s="1">
        <v>1014</v>
      </c>
      <c r="C1015" s="24" t="s">
        <v>2498</v>
      </c>
      <c r="D1015" s="24" t="s">
        <v>1281</v>
      </c>
      <c r="E1015" s="25">
        <v>70</v>
      </c>
      <c r="F1015" s="24" t="s">
        <v>1901</v>
      </c>
      <c r="G1015" s="24" t="s">
        <v>2499</v>
      </c>
      <c r="H1015" s="1"/>
      <c r="I1015" s="1"/>
      <c r="J1015" s="29">
        <v>46133</v>
      </c>
      <c r="K1015" s="1"/>
      <c r="L1015" s="27"/>
      <c r="M1015" s="27"/>
      <c r="N1015" s="1">
        <v>2</v>
      </c>
      <c r="O1015" s="45">
        <v>46153</v>
      </c>
      <c r="P1015" s="1" t="s">
        <v>1896</v>
      </c>
      <c r="Q1015" s="65" t="s">
        <v>2500</v>
      </c>
    </row>
    <row r="1016" ht="32.4" customHeight="1" spans="2:17">
      <c r="B1016" s="1">
        <v>1015</v>
      </c>
      <c r="C1016" s="24" t="s">
        <v>2501</v>
      </c>
      <c r="D1016" s="24" t="s">
        <v>1916</v>
      </c>
      <c r="E1016" s="25"/>
      <c r="F1016" s="24" t="s">
        <v>2359</v>
      </c>
      <c r="G1016" s="24" t="s">
        <v>2502</v>
      </c>
      <c r="H1016" s="1" t="s">
        <v>2503</v>
      </c>
      <c r="I1016" s="1" t="s">
        <v>1896</v>
      </c>
      <c r="J1016" s="29">
        <v>46100</v>
      </c>
      <c r="K1016" s="1"/>
      <c r="L1016" s="27"/>
      <c r="M1016" s="27"/>
      <c r="N1016" s="1">
        <v>2</v>
      </c>
      <c r="O1016" s="45">
        <v>46153</v>
      </c>
      <c r="P1016" s="1" t="s">
        <v>1896</v>
      </c>
      <c r="Q1016" s="65"/>
    </row>
    <row r="1017" ht="117.6" customHeight="1" spans="2:17">
      <c r="B1017" s="1">
        <v>1016</v>
      </c>
      <c r="C1017" s="24" t="s">
        <v>2504</v>
      </c>
      <c r="D1017" s="24" t="s">
        <v>2505</v>
      </c>
      <c r="E1017" s="25">
        <v>2360000</v>
      </c>
      <c r="F1017" s="24" t="s">
        <v>2506</v>
      </c>
      <c r="G1017" s="24" t="s">
        <v>2507</v>
      </c>
      <c r="H1017" s="1"/>
      <c r="I1017" s="1"/>
      <c r="J1017" s="29">
        <v>46158</v>
      </c>
      <c r="K1017" s="1">
        <v>452.18</v>
      </c>
      <c r="L1017" s="27"/>
      <c r="M1017" s="27"/>
      <c r="N1017" s="1">
        <v>4</v>
      </c>
      <c r="O1017" s="45">
        <v>46175</v>
      </c>
      <c r="P1017" s="1" t="s">
        <v>1896</v>
      </c>
      <c r="Q1017" s="65" t="s">
        <v>2508</v>
      </c>
    </row>
    <row r="1018" ht="26" spans="2:17">
      <c r="B1018" s="1">
        <v>1017</v>
      </c>
      <c r="C1018" s="24" t="s">
        <v>2509</v>
      </c>
      <c r="D1018" s="24" t="s">
        <v>1346</v>
      </c>
      <c r="E1018" s="25"/>
      <c r="F1018" s="24" t="s">
        <v>1173</v>
      </c>
      <c r="G1018" s="24" t="s">
        <v>2510</v>
      </c>
      <c r="H1018" s="1"/>
      <c r="I1018" s="1"/>
      <c r="J1018" s="29">
        <v>46149</v>
      </c>
      <c r="K1018" s="1"/>
      <c r="L1018" s="27"/>
      <c r="M1018" s="27"/>
      <c r="N1018" s="1">
        <v>3</v>
      </c>
      <c r="O1018" s="45">
        <v>46176</v>
      </c>
      <c r="P1018" s="1" t="s">
        <v>857</v>
      </c>
      <c r="Q1018" s="65" t="s">
        <v>1719</v>
      </c>
    </row>
    <row r="1019" ht="49.2" customHeight="1" spans="2:17">
      <c r="B1019" s="1">
        <v>1018</v>
      </c>
      <c r="C1019" s="24" t="s">
        <v>2511</v>
      </c>
      <c r="D1019" s="24" t="s">
        <v>1346</v>
      </c>
      <c r="E1019" s="25"/>
      <c r="F1019" s="24" t="s">
        <v>1901</v>
      </c>
      <c r="G1019" s="24" t="s">
        <v>2512</v>
      </c>
      <c r="H1019" s="1" t="s">
        <v>708</v>
      </c>
      <c r="I1019" s="1"/>
      <c r="J1019" s="29">
        <v>46059</v>
      </c>
      <c r="K1019" s="1"/>
      <c r="L1019" s="27"/>
      <c r="M1019" s="27"/>
      <c r="N1019" s="1">
        <v>3</v>
      </c>
      <c r="O1019" s="45">
        <v>46176</v>
      </c>
      <c r="P1019" s="1" t="s">
        <v>857</v>
      </c>
      <c r="Q1019" s="65" t="s">
        <v>1719</v>
      </c>
    </row>
    <row r="1020" ht="37.8" customHeight="1" spans="2:17">
      <c r="B1020" s="1">
        <v>1019</v>
      </c>
      <c r="C1020" s="24" t="s">
        <v>2513</v>
      </c>
      <c r="D1020" s="24" t="s">
        <v>2514</v>
      </c>
      <c r="E1020" s="25"/>
      <c r="F1020" s="24" t="s">
        <v>1802</v>
      </c>
      <c r="G1020" s="24" t="s">
        <v>2515</v>
      </c>
      <c r="H1020" s="1" t="s">
        <v>708</v>
      </c>
      <c r="I1020" s="1"/>
      <c r="J1020" s="29">
        <v>46141</v>
      </c>
      <c r="K1020" s="1"/>
      <c r="L1020" s="27"/>
      <c r="M1020" s="27"/>
      <c r="N1020" s="1">
        <v>3</v>
      </c>
      <c r="O1020" s="45">
        <v>46176</v>
      </c>
      <c r="P1020" s="1" t="s">
        <v>857</v>
      </c>
      <c r="Q1020" s="65" t="s">
        <v>2516</v>
      </c>
    </row>
    <row r="1021" ht="41.4" customHeight="1" spans="2:17">
      <c r="B1021" s="1">
        <v>1020</v>
      </c>
      <c r="C1021" s="24" t="s">
        <v>2517</v>
      </c>
      <c r="D1021" s="24" t="s">
        <v>1500</v>
      </c>
      <c r="E1021" s="25">
        <v>202000</v>
      </c>
      <c r="F1021" s="24" t="s">
        <v>954</v>
      </c>
      <c r="G1021" s="24" t="s">
        <v>2518</v>
      </c>
      <c r="H1021" s="1" t="s">
        <v>721</v>
      </c>
      <c r="I1021" s="1" t="s">
        <v>1170</v>
      </c>
      <c r="J1021" s="29">
        <v>45933</v>
      </c>
      <c r="K1021" s="1"/>
      <c r="L1021" s="27"/>
      <c r="M1021" s="27"/>
      <c r="N1021" s="1">
        <v>2</v>
      </c>
      <c r="O1021" s="45">
        <v>46177</v>
      </c>
      <c r="P1021" s="1" t="s">
        <v>1949</v>
      </c>
      <c r="Q1021" s="65" t="s">
        <v>1796</v>
      </c>
    </row>
    <row r="1022" ht="60" customHeight="1" spans="2:17">
      <c r="B1022" s="1">
        <v>1021</v>
      </c>
      <c r="C1022" s="24" t="s">
        <v>2519</v>
      </c>
      <c r="D1022" s="24" t="s">
        <v>2520</v>
      </c>
      <c r="E1022" s="25"/>
      <c r="F1022" s="24" t="s">
        <v>954</v>
      </c>
      <c r="G1022" s="24" t="s">
        <v>2521</v>
      </c>
      <c r="H1022" s="1"/>
      <c r="I1022" s="1"/>
      <c r="J1022" s="29">
        <v>46023</v>
      </c>
      <c r="K1022" s="1">
        <v>71.7</v>
      </c>
      <c r="L1022" s="27"/>
      <c r="M1022" s="27"/>
      <c r="N1022" s="1">
        <v>1</v>
      </c>
      <c r="O1022" s="45">
        <v>46177</v>
      </c>
      <c r="P1022" s="1" t="s">
        <v>1949</v>
      </c>
      <c r="Q1022" s="65" t="s">
        <v>2522</v>
      </c>
    </row>
    <row r="1023" ht="47.4" customHeight="1" spans="2:17">
      <c r="B1023" s="1">
        <v>1022</v>
      </c>
      <c r="C1023" s="24" t="s">
        <v>2523</v>
      </c>
      <c r="D1023" s="24" t="s">
        <v>2524</v>
      </c>
      <c r="E1023" s="25">
        <v>290000</v>
      </c>
      <c r="F1023" s="24" t="s">
        <v>2318</v>
      </c>
      <c r="G1023" s="24" t="s">
        <v>2525</v>
      </c>
      <c r="H1023" s="1" t="s">
        <v>1067</v>
      </c>
      <c r="I1023" s="1"/>
      <c r="J1023" s="29">
        <v>46171</v>
      </c>
      <c r="K1023" s="1">
        <v>44.85</v>
      </c>
      <c r="L1023" s="27"/>
      <c r="M1023" s="27"/>
      <c r="N1023" s="1">
        <v>2</v>
      </c>
      <c r="O1023" s="45">
        <v>46178</v>
      </c>
      <c r="P1023" s="1" t="s">
        <v>813</v>
      </c>
      <c r="Q1023" s="65" t="s">
        <v>2526</v>
      </c>
    </row>
    <row r="1024" ht="26" spans="2:17">
      <c r="B1024" s="1">
        <v>1023</v>
      </c>
      <c r="C1024" s="24" t="s">
        <v>2527</v>
      </c>
      <c r="D1024" s="24" t="s">
        <v>544</v>
      </c>
      <c r="E1024" s="25"/>
      <c r="F1024" s="24" t="s">
        <v>2528</v>
      </c>
      <c r="G1024" s="24" t="s">
        <v>2529</v>
      </c>
      <c r="H1024" s="1"/>
      <c r="I1024" s="1"/>
      <c r="J1024" s="29">
        <v>46170</v>
      </c>
      <c r="K1024" s="1">
        <v>1.5</v>
      </c>
      <c r="L1024" s="27"/>
      <c r="M1024" s="27"/>
      <c r="N1024" s="1">
        <v>1</v>
      </c>
      <c r="O1024" s="45">
        <v>46216</v>
      </c>
      <c r="P1024" s="1" t="s">
        <v>1985</v>
      </c>
      <c r="Q1024" s="65" t="s">
        <v>2530</v>
      </c>
    </row>
    <row r="1025" ht="26" spans="2:17">
      <c r="B1025" s="1">
        <v>1024</v>
      </c>
      <c r="C1025" s="24" t="s">
        <v>2531</v>
      </c>
      <c r="D1025" s="24" t="s">
        <v>2532</v>
      </c>
      <c r="E1025" s="25"/>
      <c r="F1025" s="24" t="s">
        <v>2528</v>
      </c>
      <c r="G1025" s="24" t="s">
        <v>1984</v>
      </c>
      <c r="H1025" s="1"/>
      <c r="I1025" s="1"/>
      <c r="J1025" s="29">
        <v>46155</v>
      </c>
      <c r="K1025" s="1">
        <v>2.1</v>
      </c>
      <c r="L1025" s="27"/>
      <c r="M1025" s="27"/>
      <c r="N1025" s="1">
        <v>1</v>
      </c>
      <c r="O1025" s="45">
        <v>46216</v>
      </c>
      <c r="P1025" s="1" t="s">
        <v>1985</v>
      </c>
      <c r="Q1025" s="65" t="s">
        <v>2533</v>
      </c>
    </row>
    <row r="1026" ht="32.4" customHeight="1" spans="2:17">
      <c r="B1026" s="1">
        <v>1025</v>
      </c>
      <c r="C1026" s="24" t="s">
        <v>2534</v>
      </c>
      <c r="D1026" s="24" t="s">
        <v>2535</v>
      </c>
      <c r="E1026" s="25"/>
      <c r="F1026" s="24" t="s">
        <v>1802</v>
      </c>
      <c r="G1026" s="24" t="s">
        <v>1802</v>
      </c>
      <c r="H1026" s="1"/>
      <c r="I1026" s="1"/>
      <c r="J1026" s="29">
        <v>46204</v>
      </c>
      <c r="K1026" s="1">
        <v>22.2</v>
      </c>
      <c r="L1026" s="27"/>
      <c r="M1026" s="27"/>
      <c r="N1026" s="1">
        <v>4</v>
      </c>
      <c r="O1026" s="45">
        <v>46216</v>
      </c>
      <c r="P1026" s="1" t="s">
        <v>1896</v>
      </c>
      <c r="Q1026" s="65" t="s">
        <v>2536</v>
      </c>
    </row>
    <row r="1027" ht="31.8" customHeight="1" spans="2:17">
      <c r="B1027" s="1">
        <v>1026</v>
      </c>
      <c r="C1027" s="24" t="s">
        <v>2537</v>
      </c>
      <c r="D1027" s="24" t="s">
        <v>2538</v>
      </c>
      <c r="E1027" s="25"/>
      <c r="F1027" s="24" t="s">
        <v>1113</v>
      </c>
      <c r="G1027" s="24" t="s">
        <v>2539</v>
      </c>
      <c r="H1027" s="1" t="s">
        <v>1692</v>
      </c>
      <c r="I1027" s="1"/>
      <c r="J1027" s="29">
        <v>46196</v>
      </c>
      <c r="K1027" s="1"/>
      <c r="L1027" s="27"/>
      <c r="M1027" s="27"/>
      <c r="N1027" s="1">
        <v>2</v>
      </c>
      <c r="O1027" s="45">
        <v>46217</v>
      </c>
      <c r="P1027" s="1" t="s">
        <v>857</v>
      </c>
      <c r="Q1027" s="65" t="s">
        <v>2540</v>
      </c>
    </row>
    <row r="1028" ht="39" spans="2:17">
      <c r="B1028" s="1">
        <v>1027</v>
      </c>
      <c r="C1028" s="24" t="s">
        <v>2541</v>
      </c>
      <c r="D1028" s="24" t="s">
        <v>1061</v>
      </c>
      <c r="E1028" s="25"/>
      <c r="F1028" s="24" t="s">
        <v>1113</v>
      </c>
      <c r="G1028" s="24" t="s">
        <v>2542</v>
      </c>
      <c r="H1028" s="1" t="s">
        <v>708</v>
      </c>
      <c r="I1028" s="1" t="s">
        <v>1692</v>
      </c>
      <c r="J1028" s="29">
        <v>46211</v>
      </c>
      <c r="K1028" s="1"/>
      <c r="L1028" s="27"/>
      <c r="M1028" s="27"/>
      <c r="N1028" s="1">
        <v>2</v>
      </c>
      <c r="O1028" s="45">
        <v>46217</v>
      </c>
      <c r="P1028" s="1" t="s">
        <v>857</v>
      </c>
      <c r="Q1028" s="65" t="s">
        <v>2239</v>
      </c>
    </row>
    <row r="1029" ht="26" spans="2:17">
      <c r="B1029" s="1">
        <v>1028</v>
      </c>
      <c r="C1029" s="24" t="s">
        <v>2543</v>
      </c>
      <c r="D1029" s="24" t="s">
        <v>2544</v>
      </c>
      <c r="E1029" s="25"/>
      <c r="F1029" s="24" t="s">
        <v>1113</v>
      </c>
      <c r="G1029" s="24" t="s">
        <v>2545</v>
      </c>
      <c r="H1029" s="1" t="s">
        <v>884</v>
      </c>
      <c r="I1029" s="1"/>
      <c r="J1029" s="29">
        <v>46219</v>
      </c>
      <c r="K1029" s="1"/>
      <c r="L1029" s="27"/>
      <c r="M1029" s="27"/>
      <c r="N1029" s="1">
        <v>2</v>
      </c>
      <c r="O1029" s="45">
        <v>46233</v>
      </c>
      <c r="P1029" s="1" t="s">
        <v>2287</v>
      </c>
      <c r="Q1029" s="65" t="s">
        <v>2546</v>
      </c>
    </row>
    <row r="1030" ht="26" spans="2:17">
      <c r="B1030" s="1">
        <v>1029</v>
      </c>
      <c r="C1030" s="24" t="s">
        <v>2547</v>
      </c>
      <c r="D1030" s="24" t="s">
        <v>1500</v>
      </c>
      <c r="E1030" s="25">
        <v>5678500</v>
      </c>
      <c r="F1030" s="24" t="s">
        <v>1113</v>
      </c>
      <c r="G1030" s="24" t="s">
        <v>2548</v>
      </c>
      <c r="H1030" s="1" t="s">
        <v>721</v>
      </c>
      <c r="I1030" s="1"/>
      <c r="J1030" s="29">
        <v>46153</v>
      </c>
      <c r="K1030" s="1"/>
      <c r="L1030" s="27"/>
      <c r="M1030" s="27"/>
      <c r="N1030" s="1">
        <v>3</v>
      </c>
      <c r="O1030" s="45">
        <v>46234</v>
      </c>
      <c r="P1030" s="1" t="s">
        <v>2126</v>
      </c>
      <c r="Q1030" s="65" t="s">
        <v>1796</v>
      </c>
    </row>
    <row r="1031" ht="26" spans="2:17">
      <c r="B1031" s="1">
        <v>1030</v>
      </c>
      <c r="C1031" s="24" t="s">
        <v>2549</v>
      </c>
      <c r="D1031" s="24" t="s">
        <v>2337</v>
      </c>
      <c r="E1031" s="25">
        <v>252.53</v>
      </c>
      <c r="F1031" s="24" t="s">
        <v>2550</v>
      </c>
      <c r="G1031" s="24" t="s">
        <v>2551</v>
      </c>
      <c r="H1031" s="1"/>
      <c r="I1031" s="1"/>
      <c r="J1031" s="29">
        <v>46157</v>
      </c>
      <c r="K1031" s="1"/>
      <c r="L1031" s="27"/>
      <c r="M1031" s="27"/>
      <c r="N1031" s="1">
        <v>2</v>
      </c>
      <c r="O1031" s="45">
        <v>46234</v>
      </c>
      <c r="P1031" s="1" t="s">
        <v>2126</v>
      </c>
      <c r="Q1031" s="65" t="s">
        <v>2552</v>
      </c>
    </row>
    <row r="1032" ht="26" spans="2:17">
      <c r="B1032" s="1">
        <v>1031</v>
      </c>
      <c r="C1032" s="24" t="s">
        <v>2553</v>
      </c>
      <c r="D1032" s="24" t="s">
        <v>2337</v>
      </c>
      <c r="E1032" s="25"/>
      <c r="F1032" s="24" t="s">
        <v>1113</v>
      </c>
      <c r="G1032" s="24" t="s">
        <v>2554</v>
      </c>
      <c r="H1032" s="1" t="s">
        <v>721</v>
      </c>
      <c r="I1032" s="1"/>
      <c r="J1032" s="29">
        <v>46182</v>
      </c>
      <c r="K1032" s="1"/>
      <c r="L1032" s="27"/>
      <c r="M1032" s="27"/>
      <c r="N1032" s="1">
        <v>2</v>
      </c>
      <c r="O1032" s="45">
        <v>46234</v>
      </c>
      <c r="P1032" s="1" t="s">
        <v>2126</v>
      </c>
      <c r="Q1032" s="65" t="s">
        <v>2552</v>
      </c>
    </row>
    <row r="1033" ht="175.2" customHeight="1" spans="2:17">
      <c r="B1033" s="1">
        <v>1032</v>
      </c>
      <c r="C1033" s="24" t="s">
        <v>2555</v>
      </c>
      <c r="D1033" s="24" t="s">
        <v>2556</v>
      </c>
      <c r="E1033" s="25"/>
      <c r="F1033" s="24" t="s">
        <v>2115</v>
      </c>
      <c r="G1033" s="24" t="s">
        <v>2557</v>
      </c>
      <c r="H1033" s="1"/>
      <c r="I1033" s="1"/>
      <c r="J1033" s="29">
        <v>46192</v>
      </c>
      <c r="K1033" s="1">
        <v>28.6</v>
      </c>
      <c r="L1033" s="27"/>
      <c r="M1033" s="27"/>
      <c r="N1033" s="1">
        <v>1</v>
      </c>
      <c r="O1033" s="45">
        <v>46239</v>
      </c>
      <c r="P1033" s="1" t="s">
        <v>2126</v>
      </c>
      <c r="Q1033" s="65" t="s">
        <v>2558</v>
      </c>
    </row>
    <row r="1034" ht="163.2" customHeight="1" spans="2:17">
      <c r="B1034" s="1">
        <v>1033</v>
      </c>
      <c r="C1034" s="24" t="s">
        <v>2559</v>
      </c>
      <c r="D1034" s="24" t="s">
        <v>2556</v>
      </c>
      <c r="E1034" s="25"/>
      <c r="F1034" s="24" t="s">
        <v>2560</v>
      </c>
      <c r="G1034" s="24" t="s">
        <v>2561</v>
      </c>
      <c r="H1034" s="1"/>
      <c r="I1034" s="1"/>
      <c r="J1034" s="29">
        <v>46198</v>
      </c>
      <c r="K1034" s="1">
        <v>45.3</v>
      </c>
      <c r="L1034" s="27"/>
      <c r="M1034" s="27"/>
      <c r="N1034" s="1">
        <v>1</v>
      </c>
      <c r="O1034" s="45">
        <v>46239</v>
      </c>
      <c r="P1034" s="1" t="s">
        <v>2126</v>
      </c>
      <c r="Q1034" s="65" t="s">
        <v>2558</v>
      </c>
    </row>
    <row r="1035" ht="34.2" customHeight="1" spans="2:17">
      <c r="B1035" s="1">
        <v>1034</v>
      </c>
      <c r="C1035" s="24" t="s">
        <v>2562</v>
      </c>
      <c r="D1035" s="24" t="s">
        <v>1725</v>
      </c>
      <c r="E1035" s="25"/>
      <c r="F1035" s="24" t="s">
        <v>1113</v>
      </c>
      <c r="G1035" s="24" t="s">
        <v>1726</v>
      </c>
      <c r="H1035" s="1" t="s">
        <v>884</v>
      </c>
      <c r="I1035" s="1"/>
      <c r="J1035" s="29">
        <v>46242</v>
      </c>
      <c r="K1035" s="1"/>
      <c r="L1035" s="27"/>
      <c r="M1035" s="27"/>
      <c r="N1035" s="1">
        <v>3</v>
      </c>
      <c r="O1035" s="45">
        <v>46269</v>
      </c>
      <c r="P1035" s="1" t="s">
        <v>1472</v>
      </c>
      <c r="Q1035" s="65" t="s">
        <v>1727</v>
      </c>
    </row>
    <row r="1036" ht="26" spans="2:17">
      <c r="B1036" s="1"/>
      <c r="C1036" s="24" t="s">
        <v>2563</v>
      </c>
      <c r="D1036" s="24" t="s">
        <v>2411</v>
      </c>
      <c r="E1036" s="25"/>
      <c r="F1036" s="24" t="s">
        <v>2564</v>
      </c>
      <c r="G1036" s="24" t="s">
        <v>2565</v>
      </c>
      <c r="H1036" s="1"/>
      <c r="I1036" s="1"/>
      <c r="J1036" s="29">
        <v>46204</v>
      </c>
      <c r="K1036" s="1">
        <v>10</v>
      </c>
      <c r="L1036" s="27"/>
      <c r="M1036" s="27"/>
      <c r="N1036" s="1">
        <v>2</v>
      </c>
      <c r="O1036" s="45">
        <v>46308</v>
      </c>
      <c r="P1036" s="1" t="s">
        <v>1985</v>
      </c>
      <c r="Q1036" s="65" t="s">
        <v>2413</v>
      </c>
    </row>
    <row r="1037" ht="52" spans="2:17">
      <c r="B1037" s="1"/>
      <c r="C1037" s="24" t="s">
        <v>2566</v>
      </c>
      <c r="D1037" s="24" t="s">
        <v>2171</v>
      </c>
      <c r="E1037" s="25"/>
      <c r="F1037" s="24" t="s">
        <v>2506</v>
      </c>
      <c r="G1037" s="24" t="s">
        <v>2567</v>
      </c>
      <c r="H1037" s="1"/>
      <c r="I1037" s="1"/>
      <c r="J1037" s="29">
        <v>46254</v>
      </c>
      <c r="K1037" s="1"/>
      <c r="L1037" s="27"/>
      <c r="M1037" s="27"/>
      <c r="N1037" s="1">
        <v>2</v>
      </c>
      <c r="O1037" s="45">
        <v>46308</v>
      </c>
      <c r="P1037" s="1" t="s">
        <v>2126</v>
      </c>
      <c r="Q1037" s="65" t="s">
        <v>2568</v>
      </c>
    </row>
    <row r="1038" ht="78" customHeight="1" spans="2:17">
      <c r="B1038" s="1"/>
      <c r="C1038" s="24" t="s">
        <v>2569</v>
      </c>
      <c r="D1038" s="24" t="s">
        <v>2570</v>
      </c>
      <c r="E1038" s="25">
        <v>126000</v>
      </c>
      <c r="F1038" s="24" t="s">
        <v>2506</v>
      </c>
      <c r="G1038" s="24" t="s">
        <v>2571</v>
      </c>
      <c r="H1038" s="1" t="s">
        <v>1692</v>
      </c>
      <c r="I1038" s="1" t="s">
        <v>2572</v>
      </c>
      <c r="J1038" s="29">
        <v>46286</v>
      </c>
      <c r="K1038" s="1"/>
      <c r="L1038" s="27"/>
      <c r="M1038" s="27"/>
      <c r="N1038" s="1">
        <v>3</v>
      </c>
      <c r="O1038" s="45">
        <v>46308</v>
      </c>
      <c r="P1038" s="1" t="s">
        <v>2126</v>
      </c>
      <c r="Q1038" s="65" t="s">
        <v>2573</v>
      </c>
    </row>
    <row r="1039" spans="2:17">
      <c r="B1039" s="1"/>
      <c r="C1039" s="24"/>
      <c r="D1039" s="24"/>
      <c r="E1039" s="25"/>
      <c r="F1039" s="24"/>
      <c r="G1039" s="24"/>
      <c r="H1039" s="1"/>
      <c r="I1039" s="1"/>
      <c r="J1039" s="29"/>
      <c r="K1039" s="1"/>
      <c r="L1039" s="27"/>
      <c r="M1039" s="27"/>
      <c r="N1039" s="1"/>
      <c r="O1039" s="28"/>
      <c r="P1039" s="1"/>
      <c r="Q1039" s="65"/>
    </row>
    <row r="1040" spans="2:17">
      <c r="B1040" s="1"/>
      <c r="C1040" s="24"/>
      <c r="D1040" s="24"/>
      <c r="E1040" s="25"/>
      <c r="F1040" s="24"/>
      <c r="G1040" s="24"/>
      <c r="H1040" s="1"/>
      <c r="I1040" s="1"/>
      <c r="J1040" s="29"/>
      <c r="K1040" s="1"/>
      <c r="L1040" s="27"/>
      <c r="M1040" s="27"/>
      <c r="N1040" s="1"/>
      <c r="O1040" s="28"/>
      <c r="P1040" s="1"/>
      <c r="Q1040" s="65"/>
    </row>
    <row r="1041" spans="2:17">
      <c r="B1041" s="1"/>
      <c r="C1041" s="24"/>
      <c r="D1041" s="24"/>
      <c r="E1041" s="25"/>
      <c r="F1041" s="24"/>
      <c r="G1041" s="24"/>
      <c r="H1041" s="1"/>
      <c r="I1041" s="1"/>
      <c r="J1041" s="29"/>
      <c r="K1041" s="1"/>
      <c r="L1041" s="27"/>
      <c r="M1041" s="27"/>
      <c r="N1041" s="1"/>
      <c r="O1041" s="28"/>
      <c r="P1041" s="1"/>
      <c r="Q1041" s="65"/>
    </row>
    <row r="1042" spans="2:17">
      <c r="B1042" s="1"/>
      <c r="C1042" s="24"/>
      <c r="D1042" s="24"/>
      <c r="E1042" s="25"/>
      <c r="F1042" s="24"/>
      <c r="G1042" s="24"/>
      <c r="H1042" s="1"/>
      <c r="I1042" s="1"/>
      <c r="J1042" s="29"/>
      <c r="K1042" s="1"/>
      <c r="L1042" s="27"/>
      <c r="M1042" s="27"/>
      <c r="N1042" s="1"/>
      <c r="O1042" s="28"/>
      <c r="P1042" s="1"/>
      <c r="Q1042" s="65"/>
    </row>
  </sheetData>
  <autoFilter xmlns:etc="http://www.wps.cn/officeDocument/2017/etCustomData" ref="B1:O1038" etc:filterBottomFollowUsedRange="0">
    <extLst/>
  </autoFilter>
  <mergeCells count="3">
    <mergeCell ref="A2:A47"/>
    <mergeCell ref="A48:A80"/>
    <mergeCell ref="A82:A98"/>
  </mergeCells>
  <conditionalFormatting sqref="E562">
    <cfRule type="containsText" dxfId="0" priority="5" stopIfTrue="1" operator="between" text="无">
      <formula>NOT(ISERROR(SEARCH("无",E562)))</formula>
    </cfRule>
    <cfRule type="containsText" dxfId="0" priority="6" stopIfTrue="1" operator="between" text="复印件">
      <formula>NOT(ISERROR(SEARCH("复印件",E562)))</formula>
    </cfRule>
    <cfRule type="containsText" dxfId="0" priority="7" stopIfTrue="1" operator="between" text="—">
      <formula>NOT(ISERROR(SEARCH("—",E562)))</formula>
    </cfRule>
    <cfRule type="containsText" dxfId="0" priority="8" stopIfTrue="1" operator="between" text="非网页版">
      <formula>NOT(ISERROR(SEARCH("非网页版",E562)))</formula>
    </cfRule>
  </conditionalFormatting>
  <conditionalFormatting sqref="E764">
    <cfRule type="containsText" dxfId="0" priority="9" stopIfTrue="1" operator="between" text="无">
      <formula>NOT(ISERROR(SEARCH("无",E764)))</formula>
    </cfRule>
    <cfRule type="containsText" dxfId="0" priority="10" stopIfTrue="1" operator="between" text="复印件">
      <formula>NOT(ISERROR(SEARCH("复印件",E764)))</formula>
    </cfRule>
    <cfRule type="containsText" dxfId="0" priority="11" stopIfTrue="1" operator="between" text="—">
      <formula>NOT(ISERROR(SEARCH("—",E764)))</formula>
    </cfRule>
    <cfRule type="containsText" dxfId="0" priority="12" stopIfTrue="1" operator="between" text="非网页版">
      <formula>NOT(ISERROR(SEARCH("非网页版",E764)))</formula>
    </cfRule>
  </conditionalFormatting>
  <conditionalFormatting sqref="E860">
    <cfRule type="containsText" dxfId="0" priority="13" stopIfTrue="1" operator="between" text="无">
      <formula>NOT(ISERROR(SEARCH("无",E860)))</formula>
    </cfRule>
    <cfRule type="containsText" dxfId="0" priority="14" stopIfTrue="1" operator="between" text="复印件">
      <formula>NOT(ISERROR(SEARCH("复印件",E860)))</formula>
    </cfRule>
    <cfRule type="containsText" dxfId="0" priority="15" stopIfTrue="1" operator="between" text="—">
      <formula>NOT(ISERROR(SEARCH("—",E860)))</formula>
    </cfRule>
    <cfRule type="containsText" dxfId="0" priority="16" stopIfTrue="1" operator="between" text="非网页版">
      <formula>NOT(ISERROR(SEARCH("非网页版",E860)))</formula>
    </cfRule>
  </conditionalFormatting>
  <pageMargins left="0.748031496062992" right="0.748031496062992" top="0.984251968503937" bottom="0.984251968503937" header="0.511811023622047" footer="0.511811023622047"/>
  <pageSetup paperSize="9" scale="26" fitToHeight="0" orientation="portrait" horizontalDpi="600" verticalDpi="600"/>
  <headerFooter alignWithMargins="0"/>
  <rowBreaks count="4" manualBreakCount="4">
    <brk id="22" max="255" man="1"/>
    <brk id="47" max="255" man="1"/>
    <brk id="67" max="255" man="1"/>
    <brk id="81" max="255" man="1"/>
  </rowBreaks>
</worksheet>
</file>

<file path=docProps/app.xml><?xml version="1.0" encoding="utf-8"?>
<Properties xmlns="http://schemas.openxmlformats.org/officeDocument/2006/extended-properties" xmlns:vt="http://schemas.openxmlformats.org/officeDocument/2006/docPropsVTypes">
  <Company>深圳市斯尔顿科技有限公司</Company>
  <Application>Microsoft Excel</Application>
  <HeadingPairs>
    <vt:vector size="2" baseType="variant">
      <vt:variant>
        <vt:lpstr>工作表</vt:lpstr>
      </vt:variant>
      <vt:variant>
        <vt:i4>4</vt:i4>
      </vt:variant>
    </vt:vector>
  </HeadingPairs>
  <TitlesOfParts>
    <vt:vector size="4" baseType="lpstr">
      <vt:lpstr>公司已贴花合同一</vt:lpstr>
      <vt:lpstr>公司贴花合同二</vt:lpstr>
      <vt:lpstr>公司贴花合同三</vt:lpstr>
      <vt:lpstr>公司贴花合同四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番茄花园</dc:creator>
  <cp:lastModifiedBy>付宠光</cp:lastModifiedBy>
  <dcterms:created xsi:type="dcterms:W3CDTF">2007-06-19T02:55:57Z</dcterms:created>
  <cp:lastPrinted>2022-06-26T06:03:00Z</cp:lastPrinted>
  <dcterms:modified xsi:type="dcterms:W3CDTF">2026-10-25T05:59:18Z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C5A4588D9C614D56B087A814BBCA5823_13</vt:lpwstr>
  </property>
  <property fmtid="{D5CDD505-2E9C-101B-9397-08002B2CF9AE}" pid="3" name="KSOProductBuildVer">
    <vt:lpwstr>2052-12.1.0.29161</vt:lpwstr>
  </property>
  <property fmtid="{D5CDD505-2E9C-101B-9397-08002B2CF9AE}" pid="4" name="CalculationRule">
    <vt:i4>0</vt:i4>
  </property>
</Properties>
</file>