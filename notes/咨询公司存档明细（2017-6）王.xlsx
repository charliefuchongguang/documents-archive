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E:\3造价存档\"/>
    </mc:Choice>
  </mc:AlternateContent>
  <xr:revisionPtr revIDLastSave="0" documentId="13_ncr:1_{787B4ECB-3A47-493D-9DF0-F177D9D47EB9}" xr6:coauthVersionLast="47" xr6:coauthVersionMax="47" xr10:uidLastSave="{00000000-0000-0000-0000-000000000000}"/>
  <bookViews>
    <workbookView xWindow="-108" yWindow="-108" windowWidth="23256" windowHeight="12456" xr2:uid="{00000000-000D-0000-FFFF-FFFF00000000}"/>
  </bookViews>
  <sheets>
    <sheet name="2017-6合同" sheetId="2" r:id="rId1"/>
    <sheet name="2017-6咨询报告书" sheetId="3" r:id="rId2"/>
    <sheet name="原志宇部门做的造价" sheetId="4" r:id="rId3"/>
  </sheets>
  <definedNames>
    <definedName name="_xlnm._FilterDatabase" localSheetId="0" hidden="1">'2017-6合同'!$A$1:$I$187</definedName>
    <definedName name="_xlnm._FilterDatabase" localSheetId="1" hidden="1">'2017-6咨询报告书'!$A$3:$Y$63</definedName>
    <definedName name="_xlnm._FilterDatabase" localSheetId="2" hidden="1">原志宇部门做的造价!$A$1:$G$18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4" i="3"/>
</calcChain>
</file>

<file path=xl/sharedStrings.xml><?xml version="1.0" encoding="utf-8"?>
<sst xmlns="http://schemas.openxmlformats.org/spreadsheetml/2006/main" count="1740" uniqueCount="679">
  <si>
    <t>序号</t>
  </si>
  <si>
    <t>名称</t>
  </si>
  <si>
    <t>合同单位</t>
  </si>
  <si>
    <t>委托金额（万元）</t>
  </si>
  <si>
    <t>财务已开发票金额</t>
  </si>
  <si>
    <t>份数</t>
  </si>
  <si>
    <t>交接人</t>
  </si>
  <si>
    <t>合同日期</t>
  </si>
  <si>
    <t>接收日期</t>
  </si>
  <si>
    <t>统一社会信用代码</t>
  </si>
  <si>
    <t>广联达软件服务合同</t>
  </si>
  <si>
    <t>广联达科技股份有限公司</t>
  </si>
  <si>
    <t>孙薇</t>
  </si>
  <si>
    <t>北京市密云水库周边废弃铁矿矿山地质环境治理示范工程（南山马子峪治理区）造价咨询合同</t>
  </si>
  <si>
    <t>北京市国土资源局密云分局</t>
  </si>
  <si>
    <t>杜晓雷</t>
  </si>
  <si>
    <t>辽宁中部环境高速公路铁岭至本溪段项目路面（含绿化及通道管理）、交安设施工程施工造价咨询合同</t>
  </si>
  <si>
    <t>辽宁交通建设管理有限责任公司</t>
  </si>
  <si>
    <t>伊犁哈萨克自治州公路建设项目造价咨询服务机构名录库入库协议书</t>
  </si>
  <si>
    <t>伊犁哈萨克自治州交通运输局</t>
  </si>
  <si>
    <t>张胜</t>
  </si>
  <si>
    <t>黑龙江省黑河（中国）-布拉戈维申斯克（俄罗斯）黑龙江（阿穆尔河）界河桥跨境基础设施工程咨询服务合同）</t>
  </si>
  <si>
    <t>黑龙江省黑龙大桥开发建设有限责任公司</t>
  </si>
  <si>
    <t>郭立卓</t>
  </si>
  <si>
    <t>贵州省都匀至安顺公路路基、桥隧工程造价咨询技术服务合同</t>
  </si>
  <si>
    <t>贵州富通工程咨询有限公司</t>
  </si>
  <si>
    <t>黑龙江省黑河（中国）-布拉戈维申斯克（俄罗斯）黑龙江（阿穆尔河）界河桥跨境基础设施工程咨询服务合同（第三期）</t>
  </si>
  <si>
    <t>太原至祁县高速公路晋祠高架桥迦工程施工造价咨询合同</t>
  </si>
  <si>
    <t>北京中交建设工程招标有限公司</t>
  </si>
  <si>
    <t>盖晓娜</t>
  </si>
  <si>
    <t>太原市西环高速公路冶峪互通改造工程土建主体工程施工造价咨询合同</t>
  </si>
  <si>
    <t>潜江至石首高速公路潜江至江陵段一期土建工程、二期路面工程施工造价咨询合同</t>
  </si>
  <si>
    <t>孙翠萍</t>
  </si>
  <si>
    <t>北京2017年一期大中修项目造价咨询合同</t>
  </si>
  <si>
    <t>首都机场高速公路标线造价咨询合同</t>
  </si>
  <si>
    <t>新疆2017年公路局大中修造价咨询合同</t>
  </si>
  <si>
    <t>首都机场高速公路部分路段沥青路面中修自治工程造价咨询合同</t>
  </si>
  <si>
    <t>新疆G218线房建工程施工造价咨询合同</t>
  </si>
  <si>
    <t>浙江省三门湾大桥及接线工程（宁波段）路面施工第LM1~LM2标段造价咨询合同</t>
  </si>
  <si>
    <t>S254线尉犁至且末公路建设工程（YQSJ-1合同段）初步设计土建工程概算（初审）工程造价咨询委托合同</t>
  </si>
  <si>
    <t>新疆公路工程造价管理局</t>
  </si>
  <si>
    <t>袁希雨</t>
  </si>
  <si>
    <t>S254线尉犁至且末公路建设工程（YQSJ-1合同段）初步设计房建工程概算（初审）工程造价咨询委托合同</t>
  </si>
  <si>
    <t>贵州省都匀至安顺公路路基、桥隧工程造价咨询合同</t>
  </si>
  <si>
    <t>宁波舟山港石浦港区沈海高速连接线新桥至石浦段造价咨询合同</t>
  </si>
  <si>
    <t>兴安盟经济技术开发区地方铁路项目已完工程造价审核造价咨询合同</t>
  </si>
  <si>
    <t>兴安盟经济技术开发区管理委员会</t>
  </si>
  <si>
    <t>长春至白城铁路扩能改造工程竣工财务决算审核咨询合同书</t>
  </si>
  <si>
    <t>沈阳铁路局吉林工程建设指挥部</t>
  </si>
  <si>
    <t>刘奕</t>
  </si>
  <si>
    <t>白阿铁路白城至镇西段扩能改造工程竣工财务决算审核咨询合同</t>
  </si>
  <si>
    <t>白阿铁路葛根庙至乌兰浩特段扩能改造工程竣工财务决算审核咨询合同</t>
  </si>
  <si>
    <t>黑龙江北富高速北安至古城段交安、机电工程施工造价咨询合同</t>
  </si>
  <si>
    <t>贵州省遵义至贵阳公路扩容工程（青山至羊昌段及羊昌互通）房建、交安、机电工程施工造价咨询合同</t>
  </si>
  <si>
    <t>兴安盟经济技术开发区渣场工程造价咨询合同</t>
  </si>
  <si>
    <t>兴安盟兴中项目管理有限公司</t>
  </si>
  <si>
    <t>李占立</t>
  </si>
  <si>
    <t>G30新疆境内乌鲁木齐至奎屯段改扩建工程配套房建工程施工（26个站点）造价咨询合同（2018-6）</t>
  </si>
  <si>
    <t>北京中交建设工程咨询有限公司</t>
  </si>
  <si>
    <t>湖北省白洋长江公路大桥钢桁梁制造与加工造价咨询合同（2017-2）</t>
  </si>
  <si>
    <t>湖北省白洋长江公路大桥索鞍、索夹制造与加工造价咨询合同（2017-2）</t>
  </si>
  <si>
    <t>湖北省白洋长江公路大桥主缆、吊索制造与加工造价咨询合同（2017-2）</t>
  </si>
  <si>
    <t>湖北省石首长江公路大桥（主桥、引桥、滩桥）桥面铺装工程造价咨询合同（2018-4）</t>
  </si>
  <si>
    <t>湖北省石首长江公路大桥交通安全设施工程施工造价咨询合同（2017-7）</t>
  </si>
  <si>
    <t>湖北省石首长江公路大桥绿化工程造价咨询合同（2017-7）</t>
  </si>
  <si>
    <t>省道小凤线临晋镇--永济段改线工程造价咨询合同（2017-11）</t>
  </si>
  <si>
    <t>浙江省三门湾大桥及接线工程（宁波段）交通安全设施第JA1-JA2标段造价咨询合同（2017-10）</t>
  </si>
  <si>
    <t>北京九德路（京哈高速公路--潞西路）改造工程造价咨询合同（2018）</t>
  </si>
  <si>
    <t>郑丽娟</t>
  </si>
  <si>
    <t>北京天北路北延（昌金路--桥梓镇政府西街）道路工程造价咨询合同（2017）</t>
  </si>
  <si>
    <t>北京通州孔兴路（孔庄北--京津公路）道路工程造价咨询合同（2016）</t>
  </si>
  <si>
    <t>北京长安街市容环境景观提升工程造价咨询合同（2018）</t>
  </si>
  <si>
    <t>贵州仁怀至遵义高速公路工程造价咨询合同（2017）</t>
  </si>
  <si>
    <t>贵州省都匀至安顺公路桥梁钢结构工程造价咨询合同（2018）</t>
  </si>
  <si>
    <t>湖北省武穴长江公路大桥钢箱梁、钢锚梁制造工程造价咨询合同（2018）</t>
  </si>
  <si>
    <t>湖北省武穴长江公路大桥斜拉索制造工程造价咨询合同（2018）</t>
  </si>
  <si>
    <t>湖北枣潜高速潜江段荆门南、荆门北交安工程造价咨询合同（2018）</t>
  </si>
  <si>
    <t>青海国道109线乐都至平安段公路改扩建工程造价咨询合同（2017）</t>
  </si>
  <si>
    <t>青海西宁南绕城公路东延柳湾互通至平安东段公路工程造价咨询合同（2017）</t>
  </si>
  <si>
    <t>新疆国道216线喀木斯特镇至喀默斯特库都克段公路工程配套房建工程造价咨询合同（2017）</t>
  </si>
  <si>
    <t>新疆连霍高速（G30）新疆境内乌鲁木齐至奎屯段改扩建工程配套房建工程施工（三坪服务区、五工台服务区）造价咨询合同（2018）</t>
  </si>
  <si>
    <t>黑龙江省京哈高速拉林河（吉黑省界）至哈尔滨段改扩建工程专项评估控制价上限编制咨询服务合同</t>
  </si>
  <si>
    <t>京哈高速公路拉林河（吉黑省界）至哈尔滨段改扩建工程项目办</t>
  </si>
  <si>
    <t>刘殿臣</t>
  </si>
  <si>
    <t>衡阳至永州公路特许经营项目咨询委托合同</t>
  </si>
  <si>
    <t>赵昊凯</t>
  </si>
  <si>
    <t>巴音郭楞蒙古自治州木那布拉克道班－卡子－吐拉牧场等五个公路项目PPP咨询委托合同</t>
  </si>
  <si>
    <t>巴音郭楞蒙古自治州G0612若羌至民丰高速公路、G216轮台至民丰公路及国有农林牧场道路项目</t>
  </si>
  <si>
    <t>湖北省白洋长江公路大桥主体工程造价咨询合同</t>
  </si>
  <si>
    <t>2019年静安西街等道路大修工程造价咨询合同</t>
  </si>
  <si>
    <t>天北路北延（昌金路-桥梓镇政府西街怀柔段道路工程（交安、环保及绿化工程）造价咨询合同</t>
  </si>
  <si>
    <t>宛亚坤</t>
  </si>
  <si>
    <t>山西晋中高速公路分公司祁临段应物资用房工程造价咨询合同</t>
  </si>
  <si>
    <t>山西晋中张兰收费站改扩建工程造价咨询合同</t>
  </si>
  <si>
    <t>兴安盟经济技术开发区渣场工程造价咨询补充合同</t>
  </si>
  <si>
    <t>沽源县青年湖北大桥工程造价咨询合同</t>
  </si>
  <si>
    <t>沽源县交通运输局</t>
  </si>
  <si>
    <t>常年法律顾问聘用合同（付）</t>
  </si>
  <si>
    <t>山东秀立律师事务所</t>
  </si>
  <si>
    <t>山西交通控股集团有限公司电子招投标采购交易平台建设项目合同协议书</t>
  </si>
  <si>
    <t>山西交通控股集团有限公司</t>
  </si>
  <si>
    <t>广联达软件服务合同（付）</t>
  </si>
  <si>
    <t>法律顾问合同（付）</t>
  </si>
  <si>
    <t>北京市法大律师事务所</t>
  </si>
  <si>
    <t>电子保函业务服务平台合作协议（付）</t>
  </si>
  <si>
    <t>中金支付有限公司</t>
  </si>
  <si>
    <t>担保机构合作协议（付）</t>
  </si>
  <si>
    <t>中吉财富融资担保有限公司</t>
  </si>
  <si>
    <t>交控云商平台对接合作协议书（付）</t>
  </si>
  <si>
    <t>史泰博（上海）有限公司</t>
  </si>
  <si>
    <t>黑龙江省国道丹阿公路滴道至鸡西兴凯湖机场段改扩建工程造价咨询合同</t>
  </si>
  <si>
    <t>鸡西市交通运输局</t>
  </si>
  <si>
    <t>黑龙江省省道小佳河至亮子河公路鹤立至胜利段改扩建工程造价咨询合同</t>
  </si>
  <si>
    <t>省道小佳河至亮子河公路鹤立至胜利段改扩建工程建设指挥部</t>
  </si>
  <si>
    <t>山西交通控股集团有限公司电子招投标采购交易平台建设项目合作建设、运营、维护协议书(20)</t>
  </si>
  <si>
    <t>四川建设网有限责任公司</t>
  </si>
  <si>
    <t>91510100709238358T</t>
  </si>
  <si>
    <t>山西交通控股集团有限公司电子招投标采购交易平台建设项目合作建设、运营、维护协议书（补充协议）（20）</t>
  </si>
  <si>
    <t>湖北武穴长江公路大桥路面工程造价咨询合同（19）</t>
  </si>
  <si>
    <t>湖北棋盘洲长江公路大桥路面工程造价咨询合同（19）</t>
  </si>
  <si>
    <t>宜都至来凤高速公路鹤峰东段土建工程造价咨询合同（20）</t>
  </si>
  <si>
    <t>宁波舟山港石浦港区沈海高速连接线新桥至石浦段路在工程（含绿化及预埋管线工程）、交通安全设施工程造价咨询合同（20）</t>
  </si>
  <si>
    <t>山西交投信息化建设项目电子招采审批平台系统技术安装调试服务</t>
  </si>
  <si>
    <t>南京感动科技有限公司</t>
  </si>
  <si>
    <t>袁希一</t>
  </si>
  <si>
    <t>炉红山至慈利（湘鄂界）高速公路两评报告咨询委托合同</t>
  </si>
  <si>
    <t>孙国喜</t>
  </si>
  <si>
    <t>炉红山至慈利（湘鄂界）高速公路实施方案咨询委托合同</t>
  </si>
  <si>
    <t>桑植至龙山高速公路实施方案咨询委托合同</t>
  </si>
  <si>
    <t>G60醴陵至娄底高速公路扩容工程实施方案咨询委托合同</t>
  </si>
  <si>
    <t>G5513益阳至常德高速公路扩容工程实施方案及相关报告咨询委托合同</t>
  </si>
  <si>
    <t>湖南省经营性高速公路项目投资人招标文件示范文本（含特许经营模式和政府和社会资本合作PPP两种建设模式）编制咨询委托合同</t>
  </si>
  <si>
    <t>沅陵至辰溪高速公路特许经营项目咨询委托合同</t>
  </si>
  <si>
    <t>呼北国家高速公路(G59）张家界至官庄段、新化至武冈段政府和社会资本合作（PPP）、临武至连州（湘粤界）高速公路特许经营项目实施方案审查咨询委托合同</t>
  </si>
  <si>
    <t>黑龙江省哈尔滨至肇源高速公路建设项目政府和社会资本合作（PPP）咨询委托合同</t>
  </si>
  <si>
    <t>唐山市东湖片区生态修复和基础设施建设项目政府和社会资本合作（PPP）咨询委托合同</t>
  </si>
  <si>
    <t>京昆国家高速公路太原绕城西北段改线工程（太原西北二环）高速公路项目政府和社会资本合同（PPP）咨询委托合同</t>
  </si>
  <si>
    <t>黑龙江省省道黑河至双河城公路三道镇至拜泉明水界改扩建工程造价咨询合同(2020)</t>
  </si>
  <si>
    <t>拜泉县交通运输局</t>
  </si>
  <si>
    <t>黑龙江省拜泉县兴展--兴利权（Y610）公路工程及拜泉县新福村--建国村（Y304）公路工程造价咨询合同</t>
  </si>
  <si>
    <t>常年法律顾问聘用合同（2021年付）</t>
  </si>
  <si>
    <t>山西交通控股集团有限公司电子招投标采购交易平台网络安全等级保护测评项目委托合同书</t>
  </si>
  <si>
    <t>太原清众鑫科技有限公司</t>
  </si>
  <si>
    <t>国道丹阿公路滴道至鸡西兴凯湖机场段改护建工程技术咨询服务合同</t>
  </si>
  <si>
    <t>中铁九局集团有限公司</t>
  </si>
  <si>
    <t>中路电子招投标交易平台软件服务项目合同协议（付）</t>
  </si>
  <si>
    <t>北京中宏致远科技有限公司</t>
  </si>
  <si>
    <t>李晓飞</t>
  </si>
  <si>
    <t>山西交控集团电子招投标采购交易平台检测认证服务合同（付）</t>
  </si>
  <si>
    <t>中金金融认证中心有限公司</t>
  </si>
  <si>
    <t>付宠光</t>
  </si>
  <si>
    <t>湖北棋盘洲长江公路大桥土建工程造价咨询合同</t>
  </si>
  <si>
    <t>湖北武穴长江公路大桥土建工程造价咨询合同</t>
  </si>
  <si>
    <t>蕲春至太湖高速公路蕲春西段造价咨询合同</t>
  </si>
  <si>
    <t>宜都至来凤高速公路容鹤峰东段路面及附属工程造价咨询合同</t>
  </si>
  <si>
    <t>天威诚信认证系统建设服务合同（付）</t>
  </si>
  <si>
    <t>北京天威诚信电子商务服务有限公司</t>
  </si>
  <si>
    <t>京哈高速拉林河（吉黑省界）至哈尔滨段改扩建工程专项评估控制价上限编制咨询服务补充合同</t>
  </si>
  <si>
    <t xml:space="preserve">  2021-2-23</t>
  </si>
  <si>
    <t>湖北省白洋长江公路大桥附属工程造价咨询合同</t>
  </si>
  <si>
    <t>中央国家机关2021-2022年工程造价咨询定点供应商补充征集项目工程造价咨询服务合同（仅有一份）</t>
  </si>
  <si>
    <t>中央国家机关政府采购中心</t>
  </si>
  <si>
    <t>G352古丈至罗依溪公路一期工程概算审查合同造价咨询合同（仅有一份，整理资料找出来的）</t>
  </si>
  <si>
    <t>古丈县新城建设开发有限责任公司</t>
  </si>
  <si>
    <t>黑龙江省普通国省道干线公路质量提升项目政府和社会资本合作（PPP）咨询服务委托合同（对内）</t>
  </si>
  <si>
    <t>北京经济技术开发区多功能综合杆改造工程投融资及财务测算咨询服务委托合同（对内）</t>
  </si>
  <si>
    <t>G4京港澳高速耒阳大市至宜章段扩容工程及零陵至道县高速公路项目咨询服务委托合同（对内）</t>
  </si>
  <si>
    <t>蕲春至太湖高速公路蕲春西段造价咨询合同（对内）</t>
  </si>
  <si>
    <t>北京九德路（京哈高速公路--潞西路）改建工程凉水河桥造价咨询合同（对内）</t>
  </si>
  <si>
    <t>电子平台U盾产品订购单（天威诚信电子商务公司2022-7）（付）</t>
  </si>
  <si>
    <t>张伟</t>
  </si>
  <si>
    <t>911101088020176135</t>
  </si>
  <si>
    <t>巴音郭愣蒙古自治州若羌至民丰高速公路、轮台至民丰公路及国有农林牧场道路项目（A项目包）政府和社会资本合作（PPP）咨询服务补充合同</t>
  </si>
  <si>
    <t>91110105801724279R</t>
  </si>
  <si>
    <t>湖北石首长江公路大桥土建工程造价咨询合同</t>
  </si>
  <si>
    <t>新疆G218线墩麻扎至那拉提段公路工程机电工程施工造价咨询合同</t>
  </si>
  <si>
    <t>G30新疆境内乌鲁木齐至奎屯段改扩建工程机电工程施工造价咨询合同</t>
  </si>
  <si>
    <t>浙江省白彭公路（彭南至妙山段）改造工程施工造价咨询合同</t>
  </si>
  <si>
    <t>新疆S21阿勒泰至乌鲁木齐公路工程造价咨询合同</t>
  </si>
  <si>
    <t>鹤大高速佳木斯过境段ppp项目咨询委托合同</t>
  </si>
  <si>
    <t>山西公路局路面改造PPP项目社会资本招标咨询委托合同</t>
  </si>
  <si>
    <t>湖南永州至新宁高速公路特许经营项目实施方案编制委托合同</t>
  </si>
  <si>
    <t>醴陵至娄底高速公路扩容工程捆绑沅陵至辰溪和永州至新宁高速公路捆绑测算咨询委托合同</t>
  </si>
  <si>
    <t>湖南茶陵至常宁高速公路特许经营项目实施方案编制咨询委托合同</t>
  </si>
  <si>
    <t>唐山市丰润区交通运输局PPP项目缩减投资规模咨询委托合同</t>
  </si>
  <si>
    <t>G59炉红山（湘鄂界）至慈利段捆绑G5515张南高速桑植至龙山段工程捆绑测算咨询委托合同</t>
  </si>
  <si>
    <t>黑龙江醉美龙江331边防路一期PPP项目咨询委托合同</t>
  </si>
  <si>
    <t>广西崇左市边境道路改善项目咨询委托合同</t>
  </si>
  <si>
    <t>G5513益阳至常德高速公路扩容工程PPP项目捆绑城步至龙胜（湘桂界）高速公路特许经营项目捆绑测算咨询委托合同</t>
  </si>
  <si>
    <t>G59新化至新宁（武冈）段捆绑G59呼北高速张家界至官庄段工程PPP项目捆绑测算咨询委托合同</t>
  </si>
  <si>
    <t>国道208线晋中长治界至屯留小河北段改扩建工程PPP项目咨询委托合同</t>
  </si>
  <si>
    <t>黑龙江省质量提升专项PPP模式可行性论证</t>
  </si>
  <si>
    <t>国道108忻州境内砂河至石岭段改扩建工程PPP项目咨询委托合同</t>
  </si>
  <si>
    <t>北漠高速五大连池至嫩江段PPP项目咨询委托合同</t>
  </si>
  <si>
    <t>浏阳至江背高速公路特许经营项目咨询委托合同</t>
  </si>
  <si>
    <t>许广高速茶亭互通至长沙绕城高速特许经营项目咨询委托合同</t>
  </si>
  <si>
    <t>电子平台U盾产品订购单（天威诚信电子商务公司2022-8）（付）</t>
  </si>
  <si>
    <t>电子平台U盾产品订购单（天威诚信电子商务公司2022-9）（付）</t>
  </si>
  <si>
    <t>常年法律顾问聘用合同（2022年付）</t>
  </si>
  <si>
    <t>313700003503831876</t>
  </si>
  <si>
    <t>湖南路桥建设集团有限责任公司电子招投标采购交易平台建设项目合同协议书</t>
  </si>
  <si>
    <t>湖南路桥建设集团有限责任公司</t>
  </si>
  <si>
    <t>洪永道</t>
  </si>
  <si>
    <t>91430000183763763N</t>
  </si>
  <si>
    <t>山西交通控股集团有限公司电子招投标采购交易平台合同补充协议书（仅有一份）</t>
  </si>
  <si>
    <t>91140000MA0JTP7A7K</t>
  </si>
  <si>
    <t>北京海关甜水园、光华路及和平里北街部分办公用房改造项目全过程造价咨询合同</t>
  </si>
  <si>
    <t>中华人民共和国北京海关</t>
  </si>
  <si>
    <t>11100000400010320T</t>
  </si>
  <si>
    <t>湖南邵永高速公路有限公司股权转让项目采购代理委托合同（谈判采购）</t>
  </si>
  <si>
    <t>广东联泰交通投资有限公司/广东龙华企业有限公司</t>
  </si>
  <si>
    <t>周佳彬</t>
  </si>
  <si>
    <t>91440512722920343A/91440500617530052R</t>
  </si>
  <si>
    <t>国道丹阿公路（G331）萝嘉界至嘉荫段经营类交旅设施政府和社会资本合作（PPP)项目咨询委托合同（对内）</t>
  </si>
  <si>
    <t>G1111鹤哈高速苔青至伊春段政府和社会资本合作（PPP）项目社会资本方招标最高投标限价及理论成本价报告编制技术咨询委托合同（对内）</t>
  </si>
  <si>
    <t>G1111鹤哈高速鹤岗至伊春段政府和社会资本合作（PPP）项目咨询服务合同（对内）</t>
  </si>
  <si>
    <t>湖北省丹江口水利二桥项目造价咨询合同</t>
  </si>
  <si>
    <t>湖北省路桥集团有限公司丹江口分公司</t>
  </si>
  <si>
    <t>肖博</t>
  </si>
  <si>
    <t>91420381MA49M5E727</t>
  </si>
  <si>
    <t>江苏省泰州市生态提质项目造价咨询合同</t>
  </si>
  <si>
    <t>中铁建大桥工程局集团第一工程有限公司江苏工程指挥部</t>
  </si>
  <si>
    <t>91210200118529727B</t>
  </si>
  <si>
    <t>邵永高速公路股权转让采购代理项目合同协议书（付）</t>
  </si>
  <si>
    <t>上海信益软商务咨询中心</t>
  </si>
  <si>
    <t>91310118MA7B2C9R15</t>
  </si>
  <si>
    <t>山西交投数据报表系统采购项目合同协议书</t>
  </si>
  <si>
    <t>杜智伟</t>
  </si>
  <si>
    <t xml:space="preserve">9132010478066582XA </t>
  </si>
  <si>
    <t>软件著作登记版权代理委托合同（付）</t>
  </si>
  <si>
    <t>北京纳杰知识产权代理有限公司</t>
  </si>
  <si>
    <t>91110101565823768N</t>
  </si>
  <si>
    <t>北京海德国际认证有限公司管理体系认证合同（ISO）</t>
  </si>
  <si>
    <t>北京海德国际认证有限公司</t>
  </si>
  <si>
    <t>91110105741575522M</t>
  </si>
  <si>
    <t>龙江交投招采数字服务平台等保测评技术服务合同（付）</t>
  </si>
  <si>
    <t>黑龙江省万文信息安全测评有限公司</t>
  </si>
  <si>
    <t xml:space="preserve">91230103MA194T0AXD </t>
  </si>
  <si>
    <t>北京天威诚信电子商务服务有限公司产品订购单（付2023-3-27）</t>
  </si>
  <si>
    <t>北京天威诚信电子商务服务有限公司产品订购单（付2023-6-13）</t>
  </si>
  <si>
    <t>黑龙江省交通投资集团有限公司“龙江交投招采数字服务平台”合作建设、运营合同协议书</t>
  </si>
  <si>
    <t>黑龙江省信诚工程招标有限公司</t>
  </si>
  <si>
    <t>9123011073366789XB</t>
  </si>
  <si>
    <t>常年法律顾问聘用合同（2023年付）</t>
  </si>
  <si>
    <t>山西交投招投标采购服务平台建设项目</t>
  </si>
  <si>
    <t>黑龙江政企招采数字服务平台建设项目</t>
  </si>
  <si>
    <t>房县至五峰高速公路房县段投资人投标合作单位遴选招标造价咨询合同</t>
  </si>
  <si>
    <t>陶意诚</t>
  </si>
  <si>
    <t>房县至五峰高速公路兴山段投资人投标合作单位遴选招标造价咨询合同</t>
  </si>
  <si>
    <t>房县至五峰高速公路长阳至五峰段投资人投标合作单位遴选招标造价咨询合同</t>
  </si>
  <si>
    <t>巴东至张家界高速沪蓉沪渝连接线（含巴东长江二桥）投资人投标合作单位遴选招标造价咨询合同</t>
  </si>
  <si>
    <t>二广高速公路荆州绕城段（K1+000.362~K52+757.044不含李埠长江大桥）投资人投标合作单位遴选招标造价咨询合同</t>
  </si>
  <si>
    <t>湖南路桥建设集团有限责任公司电子招投标采购交易平台建设项目补充合同</t>
  </si>
  <si>
    <t>“龙江交投招采数字服务平台”资产评估委托合同（仅有一份）</t>
  </si>
  <si>
    <t>北京华德恒资产评估有限公司</t>
  </si>
  <si>
    <t>9111010572357610X0</t>
  </si>
  <si>
    <t>2024年电子招采平台软著版权代理委托合同</t>
  </si>
  <si>
    <t>黑龙江省交通投资集团有限公司“龙江交投招采数字服务平台”合作建设、运营补充合同协议书（一）</t>
  </si>
  <si>
    <t>湖南路桥建设集团有限责任公司同部商城及设备租赁平台合同协议书</t>
  </si>
  <si>
    <t>常年法律顾问聘用合同（2024年付）</t>
  </si>
  <si>
    <t>湖北省保康至神农架等高速公路项目调整概算审核咨询（TGSH-2标段）委托合同</t>
  </si>
  <si>
    <t>甲方：湖北省交通基本建设造价管理站
乙方：江苏交通工程投资咨询有限公司</t>
  </si>
  <si>
    <t>12420000F996701413
913200001351771455</t>
  </si>
  <si>
    <t>湖北交投集团2024年度高速公路建设项目十堰至房县高速公路工程竣工结算审计服务合作协议书</t>
  </si>
  <si>
    <t>广州敦明工程咨询有限公司</t>
  </si>
  <si>
    <t>91440101304698348A</t>
  </si>
  <si>
    <t>2025年电子招采平台软著版权代理委托合同(仅有一份，付）</t>
  </si>
  <si>
    <t>《湖北交投集团2024年度高速公路建设项目十堰至房县高速公路工程竣工结算审计服务合作协议书》第三方补充协议--三峡翻坝江北高速公路段</t>
  </si>
  <si>
    <t>甲方：湖北省交通基本建设造价管理站
乙方：江苏交通工程投资咨询有限公司
丙方：湖北交投翻坝江北高速公路有限公司</t>
  </si>
  <si>
    <t xml:space="preserve">12420000F996701413
913200001351771455
91420506MA48DD1T1X
</t>
  </si>
  <si>
    <t>《湖北交投集团2024年度高速公路建设项目十堰至房县高速公路工程竣工结算审计服务合作协议书》第三方补充协议--监利至江陵高速公路东延段</t>
  </si>
  <si>
    <t>甲方：湖北省交通基本建设造价管理站
乙方：江苏交通工程投资咨询有限公司
丙方：湖北交投江北东高速公路公路有限公司</t>
  </si>
  <si>
    <t xml:space="preserve">12420000F996701413
913200001351771455
91420000MA490LPX9N
</t>
  </si>
  <si>
    <t>《湖北交投集团2024年度高速公路建设项目十堰至房县高速公路工程竣工结算审计服务合作协议书》第三方补充协议--棋盘洲长江公路大桥连接线阳新至大冶段</t>
  </si>
  <si>
    <t>甲方：湖北省交通基本建设造价管理站
乙方：江苏交通工程投资咨询有限公司
丙方：湖北交投鄂东南高速公路建设指挥部</t>
  </si>
  <si>
    <t xml:space="preserve">12420000F996701413
913200001351771455
</t>
  </si>
  <si>
    <t>《湖北交投集团2024年度高速公路建设项目十堰至房县高速公路工程竣工结算审计服务合作协议书》第三方补充协议--襄阳绕城高速公路南段</t>
  </si>
  <si>
    <t>甲方：湖北省交通基本建设造价管理站
乙方：江苏交通工程投资咨询有限公司
丙方：湖北交投襄随高速公路建设指挥部</t>
  </si>
  <si>
    <t>12420000F996701413
913200001351771455
91420000096889202K</t>
  </si>
  <si>
    <t>《湖北交投集团2024年度高速公路建设项目十堰至房县高速公路工程竣工结算审计服务合作协议书》第三方补充协议--麻城至竹溪高速公路麻城至红安段</t>
  </si>
  <si>
    <t>甲方：湖北省交通基本建设造价管理站
乙方：江苏交通工程投资咨询有限公司
丙方：湖北交投麻竹红安高速公路有限公司</t>
  </si>
  <si>
    <t>12420000F996701413
913200001351771455
91420000MA4993QH4B</t>
  </si>
  <si>
    <t>《湖北交投集团2024年度高速公路建设项目十堰至房县高速公路工程竣工结算审计服务合作协议书》第三方补充协议--棋盘洲长江公路大桥段</t>
  </si>
  <si>
    <t>甲方：湖北省交通基本建设造价管理站
乙方：江苏交通工程投资咨询有限公司
丙方：湖北棋盘洲长江公路大桥有限公司</t>
  </si>
  <si>
    <t>12420000F996701413
913200001351771455
91420000316405258P</t>
  </si>
  <si>
    <t>鄂州机场高速二期项目造价技术咨询服务合同（付）</t>
  </si>
  <si>
    <t>武汉金禄源企业管理咨询有限公司</t>
  </si>
  <si>
    <t>91420113MACAFWPU1X</t>
  </si>
  <si>
    <t>公司造价咨询项目资料归档统计表</t>
  </si>
  <si>
    <t>项目信息</t>
  </si>
  <si>
    <t>项目概况</t>
  </si>
  <si>
    <t>合同信息</t>
  </si>
  <si>
    <t>成果文件存档信息</t>
  </si>
  <si>
    <t>编号</t>
  </si>
  <si>
    <t>项目名称</t>
  </si>
  <si>
    <t>行业</t>
  </si>
  <si>
    <t>造价咨询内容</t>
  </si>
  <si>
    <t>造价金额
（万元）</t>
  </si>
  <si>
    <t>里程km</t>
  </si>
  <si>
    <t>道路等级</t>
  </si>
  <si>
    <t>合同金额
（万元）</t>
  </si>
  <si>
    <t>合同名称</t>
  </si>
  <si>
    <t>委托单位</t>
  </si>
  <si>
    <t>项目负责人</t>
  </si>
  <si>
    <t>技术负责人</t>
  </si>
  <si>
    <t>其他人员</t>
  </si>
  <si>
    <t>纸质份数</t>
  </si>
  <si>
    <t>电子版</t>
  </si>
  <si>
    <t>成果文件日期</t>
  </si>
  <si>
    <t>评价</t>
  </si>
  <si>
    <t>回访记录表</t>
  </si>
  <si>
    <t>质量控制记录表</t>
  </si>
  <si>
    <t>如实填写</t>
  </si>
  <si>
    <t>指公路、水运、航空、铁路、市政、建筑房地产、电力、化工医药、机械电子、能源工业、冶金矿产、农林水利、轻纺食品、环保、旅游、其它。</t>
  </si>
  <si>
    <t>招标限价
施工过程中：估算、概算、预算、工程量清单的编制或复核</t>
  </si>
  <si>
    <t>道路长度km（含起讫桩号）</t>
  </si>
  <si>
    <t>如：高速公路、一级路、二级路</t>
  </si>
  <si>
    <t>重点标注如：桥梁长度/米、桥型（刚构、斜拉、悬索、拱桥、桁架等）、最大跨径、最大墩高、跨江跨海跨铁路、特大中桥梁数量、特殊施工工艺等
如：隧道长度（单双洞/上下行分别长度）/米、宽度、数量、施工工艺（钻爆法/盾构）等</t>
  </si>
  <si>
    <t>指招标代理合同落款时间最晚的那个签订日期</t>
  </si>
  <si>
    <t>合同载明的项目负责人，如无，则填写“无”，并备注真实项目负责人</t>
  </si>
  <si>
    <t>合同载明的技术负责人，如无，则填写“无”，并备注真实技术负责人</t>
  </si>
  <si>
    <t>合同或者履约评价等证明资料载明的参与人员，如无，则填写“无”，并备注真实参与人员</t>
  </si>
  <si>
    <t>①有
②无</t>
  </si>
  <si>
    <t>ZCC-W17-SYS-001</t>
  </si>
  <si>
    <t>辽宁中部环线高速公路铁岭至本溪段路面（含管道、绿化）工程造价咨询报告书</t>
  </si>
  <si>
    <t>公路工程</t>
  </si>
  <si>
    <t>工程量清单及预算复核</t>
  </si>
  <si>
    <t>118.971km</t>
  </si>
  <si>
    <t>高速公路</t>
  </si>
  <si>
    <t>辽宁中部环线高速公路铁岭至本溪段工程起于铁岭市铁岭县腰堡镇北，与辽宁中部环线高速公路已建新民至铁岭段对接，设腰堡北互通立交（双喇叭）与G102线连接，本项目起点K256+443.38=新铁高速终点K256+780=辽宁中部环线与G102线交叉点，本项目终点K375+714.445，并在终点处设置高台子枢纽互通立交与丹阜高速公路相接。本项目位于辽宁省的中东部，分布于辽宁省的铁岭市、抚顺市、本溪市辖区内。本项目采用双向四车道高速公路标准建设，设计速度为80km/h，路基宽度24.5m，路线全长118.971km。</t>
  </si>
  <si>
    <t>辽宁中部环线高速公路铁岭至本溪项目路面（含绿化及通信管道）、交安设施施工造价咨询合同</t>
  </si>
  <si>
    <t>辽宁省交通建设管理有限责任公司</t>
  </si>
  <si>
    <t>有</t>
  </si>
  <si>
    <t>无</t>
  </si>
  <si>
    <t>ZCC-W17-SYS-002</t>
  </si>
  <si>
    <t>辽宁中部环线高速公路铁岭至本溪段交通安全设施工程造价咨询报告书</t>
  </si>
  <si>
    <t>ZCC-W17-SJS-003</t>
  </si>
  <si>
    <t>北京密云水库周边废弃铁矿山地质环境治理示范工程（南山马子峪治理区）工程造价咨询报告书</t>
  </si>
  <si>
    <t>市政工程</t>
  </si>
  <si>
    <t>竣工结算审计</t>
  </si>
  <si>
    <t>/</t>
  </si>
  <si>
    <t xml:space="preserve">穆家峪南山马子峪治理区分为A、B、C、D四个治理区，其中A区位于穆家峪镇羊山村南侧京承高速路边；B区位于巨各庄镇霍各庄村东北部威克冶金有限责任公司；C区位于巨各庄镇达岩村四道沟；D区位于巨各庄镇水树峪村西北。A区治理面积94299m2（约141.5亩），B区治理面积45335 m2（约68亩），C区治理面积71649.8m2（约107.4亩），D区治理面积9113.2 m2（约13.7亩），合计330.55亩。
</t>
  </si>
  <si>
    <t>北京市国土咨源局密云分局</t>
  </si>
  <si>
    <t>ZCC-Z17-BYS-004</t>
  </si>
  <si>
    <t>新疆2017年公路局大中修(2017)</t>
  </si>
  <si>
    <t>工程量清单及技术规范审核</t>
  </si>
  <si>
    <t>147km</t>
  </si>
  <si>
    <t>G30线黄田加油站-八一大道立交 (K2999-K3018)下行段：路线起点位于G30线K2999+000处，终点位于G30线K3018+000处，路线全长19km，全线采用高速公路标准设计；G30线金矿-骆驼圈子（K2942-K2961）上行段：起点位于哈密市东约73公里处的金矿，桩号为K2942+000，终点位于骆驼圈子镇西北方向5km处，桩号为K2961+000，路线全长19km，全线采用高速公路标准设计；G30线木头井子-金矿（K2923-K2942）上行段：起点位于木头井子，烟墩收费站向南约2公里处，桩号为K2923+000，终点位于距离哈密市约73公里处的金矿，桩号为K2942+000，路线全长19km（上行线），全线采用高速公路标准设计；G30线鄯善县-胜金乡(K3319-K3372)部分路段：路线起点位于K3319+000处，终点位于K3372+000，路线全长53km，全线采用高速公路标准设计；G30线胜金乡-吐鲁番（K3372-K3409）部分路段：路线起点位于G30线K3372+000处，终点位于G30线K3409+000处，路线全长37km，全线采用高速公路标准设计。</t>
  </si>
  <si>
    <t xml:space="preserve">新疆2017年公路局大中修造价咨询合同
</t>
  </si>
  <si>
    <t>ZCC-Z17-BYS-005</t>
  </si>
  <si>
    <t>北京首都机场沥青路面中修处治工程施工(2017)</t>
  </si>
  <si>
    <t>招标工程量清单及招标控制价的编制</t>
  </si>
  <si>
    <t>12万平方米</t>
  </si>
  <si>
    <t>机场高速路划分为三条“行车道”和一条“应急车道”，其中最左侧行车道标注“小客车专用”，最高时速为120公里、最低时速为100公里；中间行车道最高时速为100公里、最低时速为80公里；右侧行车道最高时速为100公里、最低时速为60公里。对受损严重路段沥青混凝土表层（部分路段二层）进行铣刨摊铺处理，以恢复路面结构的使用功能。</t>
  </si>
  <si>
    <t xml:space="preserve">首都机场高速公路部分路段沥青路面中修处治工程造价咨询合同
</t>
  </si>
  <si>
    <t>ZCC-Z17-BYS-006</t>
  </si>
  <si>
    <t>北京首都机场高速公路标线工程施工(2017)</t>
  </si>
  <si>
    <t>3万平米</t>
  </si>
  <si>
    <t>机场高速路划分为三条“行车道”和一条“应急车道”，其中最左侧行车道标注“小客车专用”，最高时速为120公里、最低时速为100公里；中间行车道最高时速为100公里、最低时速为80公里；右侧行车道最高时速为100公里、最低时速为60公里。首都机场高速公路至今已运营21余年，尤其是近年来的交通量大增，交通拥堵，使得全路段标线老化、不清晰，严重影响车辆通行的舒适性和安全性，现决定对首都机场高速公路多个路段标线进行重新施划。</t>
  </si>
  <si>
    <t xml:space="preserve">首都机场高速公路标线造价咨询合同
</t>
  </si>
  <si>
    <t>ZCC-Z17-BGF-007</t>
  </si>
  <si>
    <t>湖北潜江至石首高速公路潜江至江陵一期土建工程、二期路面工程施工(2017)</t>
  </si>
  <si>
    <t>42.283km</t>
  </si>
  <si>
    <t>起点位于浩口镇汪湖村附近，与G50沪渝高速公路汉宜段相交，对接规划的枣阳至潜江高速公路，路线向南经潜江市浩口镇、运粮湖管理区、张金镇和江陵县六合院农场、白马寺镇，止于普济镇谭湾村附近，对接拟建的潜江至石首高速公路石首长江公路大桥北岸接线，路线全长42.283公里。本项目采用全封闭、全立交的双向四车道高速公路标准。主线设计速度100km/h，整体式路基宽度26m，沥青砼路面</t>
  </si>
  <si>
    <t>潜江至石首高速公路潜江至江陵一期土建工程、二期路面工程施工造价咨询合同</t>
  </si>
  <si>
    <t>ZCC-Z17-BYS-008</t>
  </si>
  <si>
    <t>浙江宁波舟山港石浦港区沈海高速连接线新桥至石浦段工程施工(2017)</t>
  </si>
  <si>
    <t>17.51km</t>
  </si>
  <si>
    <t>宁波舟山港石浦港区沈海高速连接线新桥至石浦段工程位于象山县新桥镇、定塘镇、晓塘乡、石浦镇。起点与三门湾大桥及接线工程（规划沿海高速第二段）的新桥枢纽互通（黄吉岙处）立交相接，主线起点桩号K0+905.500，全线位于象山县境内，经新桥、定塘、晓塘、石浦四个乡镇，终于石浦镇白门头东侧，设置石浦互通立交与沿海南线相接，终点桩号K18+415.132，路线全长约 17.510km。主线采用双向四车道标准，路基宽度26米。设计速度100km/h，桥涵设计汽车荷载等级为公路—I级。</t>
  </si>
  <si>
    <t xml:space="preserve">
宁波舟山港石浦港区沈海高速连接线新桥至石浦段造价咨询合同
</t>
  </si>
  <si>
    <t>ZCC-Z17-BYS-009</t>
  </si>
  <si>
    <t>贵州省都匀至安顺公路路基、桥隧工程施工(2017)</t>
  </si>
  <si>
    <t>215.02km</t>
  </si>
  <si>
    <t>贵州省都匀至安顺公路起于都匀杨柳街镇，途经麻江、都匀经开区、都匀市、贵定、惠水、长顺、紫云、安顺西秀区、镇宁、止于镇宁杨家山，全长275公里。其中主线初步设计阶段桥梁71609.8米/153座、隧道43140米/54座（桥隧比53.4%），设互通式立交19处；都匀支线初步设计阶段桥梁19167.2米/46座、隧道7209米/11座（桥隧比63.3%），设互通式立交4处；贵安支线初步设计阶段桥梁6233.3米/16座、隧道1477米/3座（桥隧比40.2%），设互通式立交2处。路线全长215.012公里。</t>
  </si>
  <si>
    <t xml:space="preserve">贵州省都匀至安顺公路路基、桥隧工程造价咨询合同
</t>
  </si>
  <si>
    <t>ZCC-Z17-BYS-010</t>
  </si>
  <si>
    <t>北京2017年一期大中修工程施工(2017)</t>
  </si>
  <si>
    <t>19.992km</t>
  </si>
  <si>
    <t>一级路</t>
  </si>
  <si>
    <t>京通辅路（高碑店桥-区界）大修工程起止点高碑店桥-区界东侧北辅路通道全长8.48km；京通辅路（高碑店桥-区界）大修工程起止点高碑店桥-区界东侧南辅路通道全长8.64km；德胜门外大街左侧辅路大修工程起止点马甸桥-北二环德胜门桥全长2.002km；新街口南大街（地安门西大街-西直门内大街）大修工程起止点地安门西大街-西直门内大街全长0.87km。维修内容为旧路铣刨，病害处理，新建路面结构，检查井、雨水口维修加固，维修步道及附属设施，慢行系统整治以及交通标线恢复等工作内容。</t>
  </si>
  <si>
    <t xml:space="preserve">北京2017年一期大中修项目造价咨询合同
</t>
  </si>
  <si>
    <t>ZCC-Z17-SQD-011</t>
  </si>
  <si>
    <t>新疆G218线房建工程施工(2017)</t>
  </si>
  <si>
    <t xml:space="preserve">国道218线墩麻扎至省道242线岔口段：路线全长33.0km，全线采用双向四车道一级公路标准建设，配套房建工程包括3处收费站，1处服务区，1处养护工区；国道218线种羊场至七十二团段：路线全长34.113km，全线采用双向四车道一级公路标准建设，配套房建工程包括2处收费站，1处服务区，1处养护工区；国道218线七十二团至则克台段：路线全长28.6km，全线采用双向四车道一级公路标准建设，配套房建工程包括1处收费站，1处管理分中心，1处养护工区；国道218线则克台至吐尔根段：路线全长13.5km，全线采用双向四车道一级公路标准建设，配套房建工程包括1处服务区。国道218线吐尔根至阿热勒托别段：路线全长29.3km，全线采用双向四车道一级公路标准建设，配套房建工程包括1处收费站；
</t>
  </si>
  <si>
    <t xml:space="preserve">G218线房建工程施工造价咨询合同
</t>
  </si>
  <si>
    <t>ZCC-W17-SGS-012</t>
  </si>
  <si>
    <t>新疆S254线尉犁至且末公路建设工程（YQSJ-1合同段）初步设计土建工程概算（初审）(2017)</t>
  </si>
  <si>
    <t>初步设计土建工程概算（初审）</t>
  </si>
  <si>
    <t>179.523km</t>
  </si>
  <si>
    <t>二级路</t>
  </si>
  <si>
    <t>路线起终点为K0+000~K180+000，建设起终点为K0+200~K180+000，终点与YQSJ-2合同段起点相接，路线全长179.523km，全线采用二级公路建设标准，设计速度80km/h，路基宽度分12m（长20.295km）和10m（长157.823km），桥长共1.405km，短链0.477km，推荐路面结构为4cm细粒式沥青混凝土（AC-13C）面层+下封层+20cm级配砾石基层+26cm天然砂砾底基层。</t>
  </si>
  <si>
    <t xml:space="preserve">G254线尉犁至且末公路建设工程初步设计土建工程概算（初审）工程造价咨询委托合同
</t>
  </si>
  <si>
    <t>2017-7</t>
  </si>
  <si>
    <t>ZCC-W17-SGS-013</t>
  </si>
  <si>
    <t>新疆S254线尉犁至且末公路建设工程（YQSJ-1合同段）初步设计房建工程概算（初审）(2017)</t>
  </si>
  <si>
    <t>初步设计房建工程概算（初审）</t>
  </si>
  <si>
    <t>1. 房建工程总建筑面积13664m2，其中管理房屋（塔河收费站）1860m2、服务房屋（1、2号服务区及养护道班）10804m2、加油站、加气站1000m2。
2. 外部供电工程新建10kV线路25km，新建200kVA和250kVA变压器各一台；新建35kV线路65km，新建35kV变电站一座；新建110kV线路120km，新建110kv变电站一座。
3. 外部供水采用就地凿井供水，凿井3口，井深分别为100m、150m和150m，井径325mm，设计孔径550mm，并配备水处理设备。</t>
  </si>
  <si>
    <t xml:space="preserve">S254线尉犁至且末公路建设工程初步设计房建工程概算（初审）工程造价咨询委托合同
</t>
  </si>
  <si>
    <t>ZCC-Z17-BQD-014</t>
  </si>
  <si>
    <t>浙江省三门湾大桥及接线工程（宁波段）路面施工第LM1~LM2标段(2017)</t>
  </si>
  <si>
    <t>工程量清单预算编制</t>
  </si>
  <si>
    <t>47.749km（K46+912.043～K94+662）</t>
  </si>
  <si>
    <t>浙江省三门湾大桥及接线工程（宁波段），起讫桩号为K46+912.043～K94+662，路线全长47.749km，起点至明港互通式立交段43.673公里采用双向四车道标准，路基宽度26米；明港互通式立交至终点（K94+662）采用双向六车道标准，路基宽度33.5米。</t>
  </si>
  <si>
    <t xml:space="preserve">浙江省三门湾大桥及接线工程（宁波段）
路面施工第LM1～LM2标段造价咨询合同
</t>
  </si>
  <si>
    <t>ZCC-Z17-BXJ-015</t>
  </si>
  <si>
    <t>山西太原市西环高速公路冶峪互通改造工程土建主体工程施工（2016）</t>
  </si>
  <si>
    <t>限价编制</t>
  </si>
  <si>
    <t>1.19km</t>
  </si>
  <si>
    <t>太原市西环高速公路冶峪互通改造工程为现有互通式立交改造工程，主线设计标准不变，即设计速度采用80公里/小时，路基宽度24.5米；匝道设计速度采用40公里/小时，路基宽度：A匝道仍采用15.5米（仅对线位进行局部调整）、B匝道全部保留利用、拆除新建的C和D匝道采用12.0米。</t>
  </si>
  <si>
    <t xml:space="preserve">太原市西环高速公路冶峪互通改造工程
土建主体工程施工造价咨询合同
</t>
  </si>
  <si>
    <t>ZCC-Z17-BXJ-016</t>
  </si>
  <si>
    <t>山西太原至祁县高速公路晋祠高架桥加固工程施工限价编制</t>
  </si>
  <si>
    <t>2.6116km</t>
  </si>
  <si>
    <t>太原至祁县高速公路晋祠高架桥加固工程对全桥进行加固。加固方案：在每跨跨中增设2道钢桁架组成的钢横梁，对桥面重新进行钢筋混凝土铺装，对裂缝严重的箱梁进行体外预应力补强，对全桥裂缝进行封闭，对桥梁的其他病害进行处治。</t>
  </si>
  <si>
    <t xml:space="preserve">太原至祁县高速公路晋祠高架桥
加固工程施工造价咨询合同
</t>
  </si>
  <si>
    <t>ZCC-Z17-BQD-017</t>
  </si>
  <si>
    <t>浙江省三门湾大桥及接线工程（宁波段）交安第JA1~JA2标段（2017）</t>
  </si>
  <si>
    <t xml:space="preserve">浙江省三门湾大桥及接线工程（宁波段）
交通安全设施第JA1～JA2标段造价咨询合同
</t>
  </si>
  <si>
    <t>ZCC-Z17-BXJ-018</t>
  </si>
  <si>
    <t>山西省省道小风线临晋镇--永济段改线工程</t>
  </si>
  <si>
    <t>工程量清单及招标控制价编制</t>
  </si>
  <si>
    <t>30.846km</t>
  </si>
  <si>
    <t>本项目位于运城市临猗县、永济市境内，为平原微丘区，路线全长30.846km，其中临猗县境内12.3km（含4 Km完全利用），永济境内18.546km（含连接线1.824km）。临猗县境内临晋至丰乐段采用双向两车道二级公路技术标准，设计速度80km/h，路基宽度12.0m；永济市境内丰乐至永济段采用双向四车道一级公路标准建设，设计速度80km/h，路基宽度24.5m。全线桥涵设计汽车荷载等级采用公路-Ⅰ级。</t>
  </si>
  <si>
    <t>省道小凤线临晋镇--永济段改线工程造价咨询合同</t>
  </si>
  <si>
    <t>ZCC-Z18-BXJ-001</t>
  </si>
  <si>
    <t>北京九德路（京哈高速公路--潞西路）改建工程（公路段）限价编制</t>
  </si>
  <si>
    <t>5.843km</t>
  </si>
  <si>
    <t>工程位于北京市通州区台湖镇、张家湾镇，设计起点为京哈高速马庄桥北侧引道路桥分界点，设计终点潞西路，道路全长5.843公里，公路段（K6+207—K10+400），道路等级为一级公路，设计速度80公里/小时，两幅路形式，路基宽度25.5米，路面宽22米。</t>
  </si>
  <si>
    <t xml:space="preserve">
北京九德路（京哈高速公路-潞西路）改建工程造价咨询合同
</t>
  </si>
  <si>
    <t>ZCC-Z18-BXJ/BQD-002</t>
  </si>
  <si>
    <t>北京长安街市容环境景观提升工程</t>
  </si>
  <si>
    <t>0.214km</t>
  </si>
  <si>
    <t>国际俱乐部主通道全长58.4m，通道内净宽4m，净高2.5m。建国饭店主通道设计净宽4m，设计净高2.5m，两侧梯道各长45.8m，宽2.2m，设计坡度1：3.64。礼士路南口主通道全长39米，通道内净宽9米，净高2.5米。外交公寓南北宽58.4m，主通道设计净宽4m，设计净高2.5m，两侧梯道各长45.8m，宽2.2m，设计坡度1：3.64。</t>
  </si>
  <si>
    <t xml:space="preserve">北京长安街市容环境景观提升工程造价咨询合同
</t>
  </si>
  <si>
    <t>ZCC-Z18-SWZ-001</t>
  </si>
  <si>
    <t>吉林兴安盟经济技术开发区地方铁路项目已完工程造价审核造价咨询</t>
  </si>
  <si>
    <t>铁路工程</t>
  </si>
  <si>
    <t>审核已完工造价</t>
  </si>
  <si>
    <t>20.301km</t>
  </si>
  <si>
    <t>铁路</t>
  </si>
  <si>
    <t>乌兰浩特经济技术开发区地方铁路计划在白阿线葛根庙站白城端咽喉区K52+867接轨，与团结渠道并行约1km后上跨团结渠，再下穿302国道、乌白高速公路，避开风电场风塔（吉林境内），经白音花林场进入开发区工业园。设计等级为工企I级，正线单线（预留复线），正线延长20.301km，经济技术开发区内设工业园站及货场。</t>
  </si>
  <si>
    <t>有（扫描件）</t>
  </si>
  <si>
    <t>ZCC-Z19-BQD/BXJ-001</t>
  </si>
  <si>
    <t>北京2019年静安西街等道路大修工程工程量清单及招标控制编制</t>
  </si>
  <si>
    <t>14.875km</t>
  </si>
  <si>
    <t xml:space="preserve">静安西街 起点北三环东路辅路终点七圣南路 全长0.556km； 柳芳北街起点西坝河南路终点静安西街全长0.604km；香河园路起点三元桥终点东二环全长2.205km；永丰路起点北清路终点马连洼北路全长 5.260km；成寿寺路（南三环东路-南四环东路）起点南三环东路终点南四环东路全长2.890km；成寿寺路（南四环东路-亦庄西环北路）起点南四环东路 终点亦庄西环北路 全长3.360km。
</t>
  </si>
  <si>
    <t xml:space="preserve">2019年静安西街等道路大修工程造价咨询合同
</t>
  </si>
  <si>
    <t>ZCC-Z19-BQD/BXJ/BJG-002</t>
  </si>
  <si>
    <t>北京天北路北延（昌金路-桥梓镇政府西街）怀柔段道路工程（交安、环保及绿化工程）</t>
  </si>
  <si>
    <t>工程量清单、计量规则、限价编制</t>
  </si>
  <si>
    <t>6.219km（K5+672~K11+890.833）</t>
  </si>
  <si>
    <t>本项目位于怀柔区，路线起点位于顺义区怀柔区界，起点桩号K5+672，终点位于怀柔区桥梓镇政府西街，终点桩号K11+890.833。路线全长为6.219km。设计标准按照一级公路标准建设，设计速度为60km/h，红线宽度为40m，新建桥梁荷载等级为公路-Ⅰ级。怀柔区界至怀长路段路基宽度24.5米，怀长路至桥梓镇政府西街段路基宽度37.5米。新建设计桥梁和涵洞共9座，其中有大桥2座，小桥1座，涵洞6座。</t>
  </si>
  <si>
    <t xml:space="preserve">北京天北路北延（昌金路-桥梓镇政府西街）道路工程造价咨询合同
</t>
  </si>
  <si>
    <t>ZCC-Z19-BXJ-003</t>
  </si>
  <si>
    <t>山西晋中高速公路分公司祁临段应急物资用房房建工程施工项目限价编制</t>
  </si>
  <si>
    <t>房建工程</t>
  </si>
  <si>
    <t>应急物资用房，建筑面积约为864.32m²，占地面积约432.16m²；新增附属用房，建筑面积约为276.66m²，占地面积约238.22 m²。</t>
  </si>
  <si>
    <t xml:space="preserve">山西晋中高速公路分公司祁临段应急物资用房工程造价咨询合同
</t>
  </si>
  <si>
    <t>ZCC-Z19-BXJ-004</t>
  </si>
  <si>
    <t>山西晋中高速公路分公司张兰收费站改扩建工程施工项目限价编制</t>
  </si>
  <si>
    <t>0.375km</t>
  </si>
  <si>
    <t>张兰互通位于山西省介休市张兰镇东南，连接京昆高速公路祁县至林分段与国道G108，该互通为单喇叭B型互通，收费站为2进3出。主要服务于张兰镇及周边车辆上下高速，同时该互通距京昆高速和和汾高速十字交叉枢纽约6km，实现和汾高速车辆的上下高速。张兰互通收费站改造项目路线改造长度0.375km。</t>
  </si>
  <si>
    <t xml:space="preserve">山西晋中张兰收费站改扩建工程造价咨询合同
</t>
  </si>
  <si>
    <t>ZCC-W19-SJS-005</t>
  </si>
  <si>
    <t>吉林长春至白城铁路扩能改造工程竣工决算审核咨询（合作项目）(2019)</t>
  </si>
  <si>
    <t>竣工财务决算审计</t>
  </si>
  <si>
    <t>中国铁路沈阳局集团有限公司吉林工程建设指挥部</t>
  </si>
  <si>
    <t>ZCC-W19-SJS-006</t>
  </si>
  <si>
    <t>吉林白阿铁路葛根庙至乌兰浩特段扩能改造工程竣工决算审核咨询（合作项目）(2019)</t>
  </si>
  <si>
    <t>ZCC-W19-SJS-007</t>
  </si>
  <si>
    <t>吉林白阿铁路白城至镇西段扩能改造工程竣工决算审核咨询（合作项目）(2019)</t>
  </si>
  <si>
    <t>ZCC-Z20-BYS-001</t>
  </si>
  <si>
    <t>浙江宁波舟山港石浦港区沈海高速连接线新桥至石浦段路面工程施工工程量清单预算(2020)</t>
  </si>
  <si>
    <t>工程量清单预算</t>
  </si>
  <si>
    <t>17.510km
（K0+905.500~K18+415.132）</t>
  </si>
  <si>
    <t>宁波舟山港石浦港区沈海高速连接线新桥至石浦段工程位于象山县新桥镇、定塘镇、晓塘乡、石浦镇。起点与三门湾大桥及接线工程（规划沿海高速第二段）的新桥枢纽互通（黄吉岙处）立交相接，主线起点桩号K0+905.500，全线位于象山县境内，经新桥、定塘、晓塘、石浦四个乡镇，终于石浦镇白门头东侧，设置石浦互通立交与沿海南线相接，终点桩号K18+415.132，路线全长约 17.510km。主线采用双向四车道标准，路基宽度26米。设计速度100km/h，桥涵设计汽车荷载等级为公路—I级，计划建设工期4年。</t>
  </si>
  <si>
    <t>ZCC-Z20-BXJ-002</t>
  </si>
  <si>
    <t>北京通州区孔兴路（孔庄北-京津公路）道路工程—交通工程项目限价编制（2020）</t>
  </si>
  <si>
    <t>清单、计量规则、限价编制</t>
  </si>
  <si>
    <t>4.86km</t>
  </si>
  <si>
    <t>本项目位于北京市通州区南部，起点位于现状孔兴路终点（孔庄北），终点位于石槽村北与京津公路相接。孔兴路（孔庄北-京津公路）道路工程全长4.86公里，设计标准按照一级公路标准建设，设计速度80公里/小时，桥涵设计荷载等级为公路-I级，道路红线宽度40米。本项目近期按一级公路断面的西半幅修建，本次招标范围路基全宽12米，其中路面全宽10.5米，路面外侧设0.75米土路肩。新建设计桥梁共6座，其中有1座大桥，1座中桥，4座小桥。</t>
  </si>
  <si>
    <t>ZCC-Z20-BYS-003</t>
  </si>
  <si>
    <t>浙江宁波舟山港石浦港区沈海高速连接线新桥至石浦段交安工程施工清单预算编制（2020）</t>
  </si>
  <si>
    <t>ZCC-Z17-BXJ-019</t>
  </si>
  <si>
    <t>湖北省石首长江公路大桥交通安全设施工程施工工程量清单及招标控制价编制(2017)</t>
  </si>
  <si>
    <t>39.723km</t>
  </si>
  <si>
    <t>湖北省石首长江公路大桥项目起于江陵县普济镇西侧约1.8km处，与潜石高速公路潜江至江陵段对接，起点桩号K47+223.035，止于高基庙镇西侧约1.8km处，设高基庙互通与岳阳至宜昌高速公路石首至松滋段相接，终点桩号为K86+462.525。项目路线总长39.723km，其中长江大桥长10.454km（含主桥、滩桥和引桥），主桥采用主跨820m的双塔不对称混合梁斜拉桥方案，接线共布设特大桥5975m/5座、大桥3720.5m/14座、分离式桥梁（主线上跨）3045m/5座。全线设置互通3处，其中一般互通2处（大垸互通、石首东互通），枢纽互通1处（高基庙互通）。</t>
  </si>
  <si>
    <t>孙翠萍、闵树龙</t>
  </si>
  <si>
    <t>ZCC-Z17-BXJ-020</t>
  </si>
  <si>
    <t>湖北省白洋长江公路大桥钢桁梁制造与加工工程量清单及招标控制价编制（2017）</t>
  </si>
  <si>
    <t>14.906km</t>
  </si>
  <si>
    <t>白洋大桥项目起于宜张高速公路与G318国道交叉的白洋互通，顺接宜张高速公路当阳至枝江段，在秦家河河谷跨长江，止于枝城镇全心畈村，宜岳高速公路与宜张高速交叉的宜都南枢纽互通，接宜张高速公路宜都至鄂湘界段起点。路线全长14.906km，其中长江大桥长2670.5m（推荐采用主跨1000m钢梁悬索桥），全线采用六车道高速公路标准，设计速度100km/h，全线设置互通式立交1座、预留互通1座，收费站、养护工区和监控分中心各1处。</t>
  </si>
  <si>
    <t>ZCC-Z17-BXJ-021</t>
  </si>
  <si>
    <t>湖北省白洋长江公路大桥主缆、吊索制造与加工工程量清单及招标控制价编制（2017）</t>
  </si>
  <si>
    <t>ZCC-Z18-BXJ-003</t>
  </si>
  <si>
    <t>北京天北路北延（昌金路-桥梓镇政府西街）道路工程工程量清单及招标控制价编制(2018)</t>
  </si>
  <si>
    <t>6.219km</t>
  </si>
  <si>
    <t>一级公路</t>
  </si>
  <si>
    <t>天北路北延（昌金路-桥梓镇政府西街）怀柔段道路工程地处顺义、怀柔两区，路线起点位于顺义区昌金路与现状天北路相交路口，终点位于怀柔区桥梓镇政府西街，全长11.891公里，规划道路等级为一级公路，规划红线宽度40米，设计时速60km/h。沿线共经过顺义区赵全营镇、北石槽镇和怀柔区桥梓镇，是怀柔、顺义与中心城之间的重要的交通联系通道。本项目位于怀柔区，路线起点位于顺义区怀柔区界，起点桩号K5+672，终点位于怀柔区桥梓镇政府西街，终点桩号K11+890.833。路线全长为6.219km。设计标准按照一级公路标准建设，设计速度为60km/h，红线宽度为40m，新建桥梁荷载等级为公路-Ⅰ级。怀柔区界至怀长路段路基宽度24.5米，怀长路至桥梓镇政府西街段路基宽度37.5米。新建设计桥梁和涵洞共9座，其中有大桥2座，小桥1座，涵洞6座。</t>
  </si>
  <si>
    <t>陈凤香、闵树龙</t>
  </si>
  <si>
    <t>ZCC-Z18-BXJ-004</t>
  </si>
  <si>
    <t>湖北省武穴长江公路大桥钢箱梁、钢锚梁制造工程量清单及招标控制价编制（2018）</t>
  </si>
  <si>
    <r>
      <rPr>
        <sz val="11"/>
        <color theme="1"/>
        <rFont val="宋体"/>
        <family val="3"/>
        <charset val="134"/>
        <scheme val="minor"/>
      </rPr>
      <t>3</t>
    </r>
    <r>
      <rPr>
        <sz val="11"/>
        <color theme="1"/>
        <rFont val="宋体"/>
        <family val="3"/>
        <charset val="134"/>
        <scheme val="minor"/>
      </rPr>
      <t>1km</t>
    </r>
  </si>
  <si>
    <t>湖北省武穴长江公路大桥是国家规划的长江干流过江通道之一，也是湖北“953”高速公路网纵1线(麻城至阳新)跨越长江的重要桥梁。大桥南岸位于黄石市阳新县，北岸位于黄冈市武穴市。项目全长31.00公里，其中长江大桥长2.054公里，接线长28.941公里。主桥建设方案为桥跨布置(80+290+808+75+75+75)米双塔组合混合梁斜拉桥。全线采用设计速度100公里/小时的高速公路标准，长江大桥部分采用六车道，其它路段采用四车道。</t>
  </si>
  <si>
    <t>盖晓娜、陈凤香</t>
  </si>
  <si>
    <t>ZCC-Z18-BXJ-005</t>
  </si>
  <si>
    <t>湖北省石首长江公路大桥（主桥、引桥、滩桥）桥面铺装工程工程量清单及招标控制价编制（2018）</t>
  </si>
  <si>
    <t>陈凤香</t>
  </si>
  <si>
    <t>ZCC-Z18-BXJ-006</t>
  </si>
  <si>
    <t>湖北省武穴长江公路大桥斜拉索制造工程量清单及招标控制价编制（2018）</t>
  </si>
  <si>
    <t>盖晓娜、闵树龙</t>
  </si>
  <si>
    <t>ZCC-Z19-BXJ-008</t>
  </si>
  <si>
    <t>湖北栆潜高速潜江段荆门南荆门北交安工程工程量清单及招标控制价编制（2019）</t>
  </si>
  <si>
    <r>
      <rPr>
        <sz val="11"/>
        <color theme="1"/>
        <rFont val="宋体"/>
        <family val="3"/>
        <charset val="134"/>
        <scheme val="minor"/>
      </rPr>
      <t>136.231</t>
    </r>
    <r>
      <rPr>
        <sz val="11"/>
        <color theme="1"/>
        <rFont val="宋体"/>
        <family val="3"/>
        <charset val="134"/>
        <scheme val="minor"/>
      </rPr>
      <t>km</t>
    </r>
  </si>
  <si>
    <r>
      <rPr>
        <sz val="11"/>
        <color theme="1"/>
        <rFont val="宋体"/>
        <family val="3"/>
        <charset val="134"/>
        <scheme val="minor"/>
      </rPr>
      <t>枣阳至潜江高速公路荆门北段路线推荐方案起于荆襄界长寿镇的孙家塆，顺接枣潜高速公路襄阳段，路线向南布设，至夏家冲附近设置钟祥枢纽互通与武荆高速交叉，实现与荆门南段顺接和与武荆高速的交通转换。路线全长54.889km，全线采用四车道高速公路标准，设计速度100km/h，全线设置互通式立交3处，收费站3处、服务区2处、管理分中心1处、养护工区1处。
枣阳至潜江高速公路荆门钟祥至潜江段起于钟祥市夏家冲附近，与武荆高速公公路交叉，顺接枣阳至潜江高速公路荆门北段，止于潜江市刘家台附近，与汉宜高速公路交叉，对接潜江至石首高速公路潜江至江陵段。路线全长</t>
    </r>
    <r>
      <rPr>
        <sz val="11"/>
        <color theme="1"/>
        <rFont val="宋体"/>
        <family val="3"/>
        <charset val="134"/>
        <scheme val="minor"/>
      </rPr>
      <t>81.342km</t>
    </r>
    <r>
      <rPr>
        <sz val="11"/>
        <color theme="1"/>
        <rFont val="宋体"/>
        <family val="3"/>
        <charset val="134"/>
        <scheme val="minor"/>
      </rPr>
      <t>，全线采用设计速度</t>
    </r>
    <r>
      <rPr>
        <sz val="11"/>
        <color theme="1"/>
        <rFont val="宋体"/>
        <family val="3"/>
        <charset val="134"/>
        <scheme val="minor"/>
      </rPr>
      <t>100</t>
    </r>
    <r>
      <rPr>
        <sz val="11"/>
        <color theme="1"/>
        <rFont val="宋体"/>
        <family val="3"/>
        <charset val="134"/>
        <scheme val="minor"/>
      </rPr>
      <t>公里</t>
    </r>
    <r>
      <rPr>
        <sz val="11"/>
        <color theme="1"/>
        <rFont val="宋体"/>
        <family val="3"/>
        <charset val="134"/>
        <scheme val="minor"/>
      </rPr>
      <t>/</t>
    </r>
    <r>
      <rPr>
        <sz val="11"/>
        <color theme="1"/>
        <rFont val="宋体"/>
        <family val="3"/>
        <charset val="134"/>
        <scheme val="minor"/>
      </rPr>
      <t>小时、路基宽度</t>
    </r>
    <r>
      <rPr>
        <sz val="11"/>
        <color theme="1"/>
        <rFont val="宋体"/>
        <family val="3"/>
        <charset val="134"/>
        <scheme val="minor"/>
      </rPr>
      <t>26</t>
    </r>
    <r>
      <rPr>
        <sz val="11"/>
        <color theme="1"/>
        <rFont val="宋体"/>
        <family val="3"/>
        <charset val="134"/>
        <scheme val="minor"/>
      </rPr>
      <t>米的双向四车道高速公路标准，桥涵汽车设计荷载等级公路</t>
    </r>
    <r>
      <rPr>
        <sz val="11"/>
        <color theme="1"/>
        <rFont val="宋体"/>
        <family val="3"/>
        <charset val="134"/>
        <scheme val="minor"/>
      </rPr>
      <t>-</t>
    </r>
    <r>
      <rPr>
        <sz val="11"/>
        <color theme="1"/>
        <rFont val="宋体"/>
        <family val="3"/>
        <charset val="134"/>
        <scheme val="minor"/>
      </rPr>
      <t>Ⅰ级。全线设置互通式立交</t>
    </r>
    <r>
      <rPr>
        <sz val="11"/>
        <color theme="1"/>
        <rFont val="宋体"/>
        <family val="3"/>
        <charset val="134"/>
        <scheme val="minor"/>
      </rPr>
      <t>8</t>
    </r>
    <r>
      <rPr>
        <sz val="11"/>
        <color theme="1"/>
        <rFont val="宋体"/>
        <family val="3"/>
        <charset val="134"/>
        <scheme val="minor"/>
      </rPr>
      <t>处，收费站</t>
    </r>
    <r>
      <rPr>
        <sz val="11"/>
        <color theme="1"/>
        <rFont val="宋体"/>
        <family val="3"/>
        <charset val="134"/>
        <scheme val="minor"/>
      </rPr>
      <t>6</t>
    </r>
    <r>
      <rPr>
        <sz val="11"/>
        <color theme="1"/>
        <rFont val="宋体"/>
        <family val="3"/>
        <charset val="134"/>
        <scheme val="minor"/>
      </rPr>
      <t>处、服务区</t>
    </r>
    <r>
      <rPr>
        <sz val="11"/>
        <color theme="1"/>
        <rFont val="宋体"/>
        <family val="3"/>
        <charset val="134"/>
        <scheme val="minor"/>
      </rPr>
      <t>2</t>
    </r>
    <r>
      <rPr>
        <sz val="11"/>
        <color theme="1"/>
        <rFont val="宋体"/>
        <family val="3"/>
        <charset val="134"/>
        <scheme val="minor"/>
      </rPr>
      <t>处、管理分中心</t>
    </r>
    <r>
      <rPr>
        <sz val="11"/>
        <color theme="1"/>
        <rFont val="宋体"/>
        <family val="3"/>
        <charset val="134"/>
        <scheme val="minor"/>
      </rPr>
      <t>1</t>
    </r>
    <r>
      <rPr>
        <sz val="11"/>
        <color theme="1"/>
        <rFont val="宋体"/>
        <family val="3"/>
        <charset val="134"/>
        <scheme val="minor"/>
      </rPr>
      <t>处、养护工区</t>
    </r>
    <r>
      <rPr>
        <sz val="11"/>
        <color theme="1"/>
        <rFont val="宋体"/>
        <family val="3"/>
        <charset val="134"/>
        <scheme val="minor"/>
      </rPr>
      <t>1</t>
    </r>
    <r>
      <rPr>
        <sz val="11"/>
        <color theme="1"/>
        <rFont val="宋体"/>
        <family val="3"/>
        <charset val="134"/>
        <scheme val="minor"/>
      </rPr>
      <t>处。沙洋连接线</t>
    </r>
    <r>
      <rPr>
        <sz val="11"/>
        <color theme="1"/>
        <rFont val="宋体"/>
        <family val="3"/>
        <charset val="134"/>
        <scheme val="minor"/>
      </rPr>
      <t>6.037km</t>
    </r>
    <r>
      <rPr>
        <sz val="11"/>
        <color theme="1"/>
        <rFont val="宋体"/>
        <family val="3"/>
        <charset val="134"/>
        <scheme val="minor"/>
      </rPr>
      <t>，采用设计速度</t>
    </r>
    <r>
      <rPr>
        <sz val="11"/>
        <color theme="1"/>
        <rFont val="宋体"/>
        <family val="3"/>
        <charset val="134"/>
        <scheme val="minor"/>
      </rPr>
      <t>80</t>
    </r>
    <r>
      <rPr>
        <sz val="11"/>
        <color theme="1"/>
        <rFont val="宋体"/>
        <family val="3"/>
        <charset val="134"/>
        <scheme val="minor"/>
      </rPr>
      <t>公里</t>
    </r>
    <r>
      <rPr>
        <sz val="11"/>
        <color theme="1"/>
        <rFont val="宋体"/>
        <family val="3"/>
        <charset val="134"/>
        <scheme val="minor"/>
      </rPr>
      <t>/</t>
    </r>
    <r>
      <rPr>
        <sz val="11"/>
        <color theme="1"/>
        <rFont val="宋体"/>
        <family val="3"/>
        <charset val="134"/>
        <scheme val="minor"/>
      </rPr>
      <t>小时、路基宽度</t>
    </r>
    <r>
      <rPr>
        <sz val="11"/>
        <color theme="1"/>
        <rFont val="宋体"/>
        <family val="3"/>
        <charset val="134"/>
        <scheme val="minor"/>
      </rPr>
      <t>21.5</t>
    </r>
    <r>
      <rPr>
        <sz val="11"/>
        <color theme="1"/>
        <rFont val="宋体"/>
        <family val="3"/>
        <charset val="134"/>
        <scheme val="minor"/>
      </rPr>
      <t>米的双向四车道一级公路标准；高石碑连接线</t>
    </r>
    <r>
      <rPr>
        <sz val="11"/>
        <color theme="1"/>
        <rFont val="宋体"/>
        <family val="3"/>
        <charset val="134"/>
        <scheme val="minor"/>
      </rPr>
      <t>15.113km</t>
    </r>
    <r>
      <rPr>
        <sz val="11"/>
        <color theme="1"/>
        <rFont val="宋体"/>
        <family val="3"/>
        <charset val="134"/>
        <scheme val="minor"/>
      </rPr>
      <t>，采用设计速度</t>
    </r>
    <r>
      <rPr>
        <sz val="11"/>
        <color theme="1"/>
        <rFont val="宋体"/>
        <family val="3"/>
        <charset val="134"/>
        <scheme val="minor"/>
      </rPr>
      <t>80</t>
    </r>
    <r>
      <rPr>
        <sz val="11"/>
        <color theme="1"/>
        <rFont val="宋体"/>
        <family val="3"/>
        <charset val="134"/>
        <scheme val="minor"/>
      </rPr>
      <t>公里</t>
    </r>
    <r>
      <rPr>
        <sz val="11"/>
        <color theme="1"/>
        <rFont val="宋体"/>
        <family val="3"/>
        <charset val="134"/>
        <scheme val="minor"/>
      </rPr>
      <t>/</t>
    </r>
    <r>
      <rPr>
        <sz val="11"/>
        <color theme="1"/>
        <rFont val="宋体"/>
        <family val="3"/>
        <charset val="134"/>
        <scheme val="minor"/>
      </rPr>
      <t>小时、路基宽度</t>
    </r>
    <r>
      <rPr>
        <sz val="11"/>
        <color theme="1"/>
        <rFont val="宋体"/>
        <family val="3"/>
        <charset val="134"/>
        <scheme val="minor"/>
      </rPr>
      <t>12</t>
    </r>
    <r>
      <rPr>
        <sz val="11"/>
        <color theme="1"/>
        <rFont val="宋体"/>
        <family val="3"/>
        <charset val="134"/>
        <scheme val="minor"/>
      </rPr>
      <t>米的双向二车道二级公路标准。</t>
    </r>
  </si>
  <si>
    <t>盖晓娜、袁希雨</t>
  </si>
  <si>
    <t>ZCC-W20-BYS-004</t>
  </si>
  <si>
    <t>黑龙江省省道黑河至双城公路三道镇至拜泉明水界段改扩建工程施工工程量清单预算编制（2020）</t>
  </si>
  <si>
    <r>
      <rPr>
        <sz val="11"/>
        <color theme="1"/>
        <rFont val="宋体"/>
        <family val="3"/>
        <charset val="134"/>
        <scheme val="minor"/>
      </rPr>
      <t>7</t>
    </r>
    <r>
      <rPr>
        <sz val="11"/>
        <color theme="1"/>
        <rFont val="宋体"/>
        <family val="3"/>
        <charset val="134"/>
        <scheme val="minor"/>
      </rPr>
      <t>.733km</t>
    </r>
  </si>
  <si>
    <t>二级公路</t>
  </si>
  <si>
    <t xml:space="preserve">项目起自省道黑双公路与国道三莫公路交叉处，沿既有道路布线，经三道镇、半步道屯、韩家屯、六马架屯，止于拜泉明水界，路线全长7.733公里。
全线设置小桥49.08米/2座（完全利用）、涵洞15道（含接长利用2道），与二级公路平面交叉2处，交通量观测站1处。
全线采用二级公路标准建设，设计时速80公里/小时，一般路段采用路基宽12米，桥涵设计汽车荷载等级采用公路-I级。其他技术指标按《公路工程技术标准》（JTG B0-2014）执行。
</t>
  </si>
  <si>
    <t>省道黑河至双河城公路三道镇至拜泉明水界改扩建工程造价咨询合同(2020)
拜泉县兴展--兴利权（Y610）公路工程及拜泉县新福村--建国村（Y304）公路工程造价咨询合同（2021）</t>
  </si>
  <si>
    <t>2020-10-20
2021-8-6</t>
  </si>
  <si>
    <t>陈金桐、马园园</t>
  </si>
  <si>
    <t>ZCC-W20-BXJ-005</t>
  </si>
  <si>
    <t>黑龙江省国道丹阿公路滴道至兴凯湖机场段改扩建工程（一级公路）招标控制价清单编制（2020）</t>
  </si>
  <si>
    <t>招标控制价编制</t>
  </si>
  <si>
    <t>32.108km</t>
  </si>
  <si>
    <t xml:space="preserve">本项目国道丹阿公路滴道至鸡西兴凯湖机场段为丹阿公路鸡西过境段，是国道丹阿公路的重要组成部分，路线起于丹阿公路（桩号K1663+080），终于鸡西兴凯湖机场，路线全长32.108km。采用一级公路标准，设计速度为80km/h。设计单位为黑龙江省公路勘察设计院。
该项目主要工程量：挖方186万立米，填方299万立米；4.0%水稳级配碎石厚200mm底基层61万平米，4.5%水泥稳定级配碎石厚320mm基层71万平米，SMA厚4cm+中粒式改性沥青混凝土厚6cm面层60万平米；主线桥梁16座4400.6m，涵洞33道；路线交叉33处；养护工区1处。
</t>
  </si>
  <si>
    <t>黑龙江省国道丹阿公路滴道至鸡西兴凯湖机场段改扩建工程造价咨询合同（2020）</t>
  </si>
  <si>
    <t>ZCC-W20-BXJ-006</t>
  </si>
  <si>
    <t>省道小佳河至亮子河公路鹤立至胜利段改扩建工程施工招标控制价编制（2020）</t>
  </si>
  <si>
    <t>44.742km</t>
  </si>
  <si>
    <t>本项目路线起于鹤立镇南侧，省道小佳河至亮子河公路与鹤大公路K33+000交叉处，向西跨越佳鹤铁路，沿鹤立镇规划区布线，跨乌龙河、鹤大高速、经永发乡、裕德村、朝阳村、太平川乡、胜利乡、跨绥佳铁路，终于省道小佳河至亮子河公路与国道京抚公路K1685+630交叉处，路线全长44.742km。采用二级公路标准，路基宽度10m。设计速度为60km/h。</t>
  </si>
  <si>
    <t>黑龙江省省道小佳河至亮子河公路鹤立至胜利段改扩建工程造价咨询合同（2020）</t>
  </si>
  <si>
    <t>黑龙江省京哈高速拉林河（吉黑省界）至哈尔滨段改扩建工程专项评估控制价上限编制报告（共18项）</t>
  </si>
  <si>
    <t>评估控制价上限编制</t>
  </si>
  <si>
    <t>70.955km</t>
  </si>
  <si>
    <t>本项目起点位于拉林河大南岸（吉林省侧）的吉黑两省交界处（桩号为AK1137+000），与京哈高速长春至拉林河段终点顺接。本项目全长71km，设计速度120公司/小时的八车道高速公路标准，路面为沥青混凝土路面结构。</t>
  </si>
  <si>
    <t>京哈高速拉林河（吉黑省界）至哈尔滨段改扩建工程专项评估控制价上限编制咨询服务合同
京哈高速拉林河（吉黑省界）至哈尔滨段改扩建工程专项评估控制价上限编制咨询服务补合同</t>
  </si>
  <si>
    <t>2019-1-20
2021-2-23</t>
  </si>
  <si>
    <t>陈志宇</t>
  </si>
  <si>
    <t>刘殿臣、郭星</t>
  </si>
  <si>
    <t>ZCC-Z21-BXJ-001</t>
  </si>
  <si>
    <t>北京市通州区孔兴路（孔庄北-京津公路）道路工程--绿化工程施工最高限价编制（2021）</t>
  </si>
  <si>
    <t>最高限价</t>
  </si>
  <si>
    <t>北京通州孔兴路（孔庄北--京津公路）道路工程造价咨询合同</t>
  </si>
  <si>
    <t>郑丽娟、闵树龙</t>
  </si>
  <si>
    <r>
      <rPr>
        <sz val="11"/>
        <color theme="1"/>
        <rFont val="宋体"/>
        <family val="3"/>
        <charset val="134"/>
        <scheme val="minor"/>
      </rPr>
      <t>Z</t>
    </r>
    <r>
      <rPr>
        <sz val="11"/>
        <color theme="1"/>
        <rFont val="宋体"/>
        <family val="3"/>
        <charset val="134"/>
        <scheme val="minor"/>
      </rPr>
      <t>CC-Z21-BXJ-002</t>
    </r>
  </si>
  <si>
    <r>
      <rPr>
        <sz val="11"/>
        <color theme="1"/>
        <rFont val="宋体"/>
        <family val="3"/>
        <charset val="134"/>
        <scheme val="minor"/>
      </rPr>
      <t>北京市九德路（京哈高速公路—潞西路）改建工程（公路段）凉水河桥最高限价</t>
    </r>
    <r>
      <rPr>
        <sz val="10"/>
        <color theme="1"/>
        <rFont val="宋体"/>
        <family val="3"/>
        <charset val="134"/>
        <scheme val="minor"/>
      </rPr>
      <t>编制(2021)</t>
    </r>
  </si>
  <si>
    <t>5.84km（K4＋557-K10＋400）</t>
  </si>
  <si>
    <t>三级公路</t>
  </si>
  <si>
    <t>九德路位于通州区中南部，是北京市公路网县道系统中一条重要道路，是连接梨园镇九棵树村和永乐店镇德仁务村的一条重要南北通道，同时也是通州南部梨园、台湖、永乐店等乡镇与卫星城沟通的主要公路。九德路起点为九棵树村，向南途经大马庄、萧太后河、曹园、田府、京哈高速、张台路、六环、凉水河、南火垡、潞西路、样田村、胜利干渠、牛样路、高营、京津高速、小杜社、大杜社、漷马路、小松垡、凤港减河、大松垡、前伏、渠头等主要控制点，终点与永乐店镇德仁务村相接，道路全长33.4公里。
本次九德路（京哈高速公路-潞西路）改建工程位于北京市通州区台湖镇、张家湾镇，设计起点为京哈高速马庄桥北侧引道路桥分界点，设计终点潞西路，道路全长5.843公里（K4＋557-K10＋400）。道路位于平原区，路线呈南北走向，经过京唧高速、张台路、新四支渠、老四支渠、六环路、规划排水渠、凉水河、潞西路等主要控制点。本次改造大部分路段基本是沿着旧路中线向两侧拓宽改造，凉水河桥两侧加宽。</t>
  </si>
  <si>
    <t>北京九德路（京哈高速公路--潞西路）改建工程凉水河桥造价咨询合同</t>
  </si>
  <si>
    <t>盖晓娜、马园园</t>
  </si>
  <si>
    <t>ZCC-Z23-BQD-001</t>
  </si>
  <si>
    <t>新疆S317线托里老风口--裕民公路建设项目工程量清单编制（2023）</t>
  </si>
  <si>
    <t>工程量清单编制</t>
  </si>
  <si>
    <t>50.89km（K0+000~K50+890.459）</t>
  </si>
  <si>
    <t>本项目位于新疆维吾尔自治区塔城地区境内，起点接G335线老风口道班附近，G335线桩号为K179+300，起点桩号为K0+000，路线沿既有S317二级公路进行布线，在裕民县城东接裕民县过境段，终点接塔城至裕民一级路（原S222线），路线全长50.890km，其中改扩建段全长45.252km，裕民县过境段利用迎宾路、海棠路、东环路、规划二路，总长5.639km，拟建公路等级为一级公路，双向四车道，改扩建段设计速度100km/h，过境段设计车速60km/h。
K0+000~K24+800位于托里县境内，K24+800~K50+890.459段位于裕民县境内。S317线与G335线直接相接，间接通过塔裕一级路（原S222线）与G219线相连，是塔城地区公路网布局中的重要通道，在塔城地区经济社会发展进程和区域次要干线公路网中占有重要地位。</t>
  </si>
  <si>
    <t>新疆维吾尔自治区交通建设管理局</t>
  </si>
  <si>
    <t>郭浩浩</t>
  </si>
  <si>
    <t>ZCC-Z23-BQD-002</t>
  </si>
  <si>
    <t>湖北巴东至张家界高速沪蓉沪渝连接线工程投资人投标合作单位遴选清单预算编制（2023）</t>
  </si>
  <si>
    <t>70.596km（k2+100~k2+696)</t>
  </si>
  <si>
    <t>巴东至张家界高速沪蓉沪渝连接线（含巴东长江二桥）：全长约70.596公里。全线拟按设计速度80公路/小时、路基宽25.5米的四车道的高速公路标准建设，长江大桥拟按双向六车道标准建设。巴东城区北互通连接线全长约4公里，磨坪互通连接线长约4.3公里，两次连接线按二车道二级公路标准建设。桥梁全长16250米/35座（其中： 特大桥6290米/4座，大桥9870米/30座，中桥90米/1座，其中巴东长江公路二桥主桥推荐采用主跨1150米钢箱梁悬索桥）。隧道全长40511米/16座（其中：特长隧道26743米/5座，长隧道11610米/7座，中隧道1515米/2座，短隧道643米/2座）。设互通式立交7处（巴东高铁新区互通、溪丘湾枢纽、巴东城区北互通、巴东城区南互通、秭归磨坪互通、野三关北互通、野三关枢纽）、养护工区1处，服务区1处，路段管理分中心1处。</t>
  </si>
  <si>
    <t>巴东至张家界高速沪蓉沪渝连接线（含巴东长江二桥）投资人投标合作单位遴选招标造价咨询合同（无纸质）</t>
  </si>
  <si>
    <t>郑丽娟、宛亚坤、肖博、陶意成</t>
  </si>
  <si>
    <t>肖博、宛亚坤</t>
  </si>
  <si>
    <t>ZCC-Z21-BYS-003</t>
  </si>
  <si>
    <t>湖北宜都来凤高速公路鹤峰东段一期土建工程施工承包合同预算编制（2021）</t>
  </si>
  <si>
    <t>施工承包合同预算编制</t>
  </si>
  <si>
    <t>38.62（k14+808~`k52+737.171)</t>
  </si>
  <si>
    <t>宜来高速公路鹤峰东段为湖北省公路水运交通运输“十三五”发展规划纲要中的重要组成部分(以下简称“本项目”)，也是湖北省省道网规划纲要(2011-2030 年)的“横 5 线” 阳新至咸丰高速公路的鹤峰东段。本项目路线起于鹤峰与五峰分界处马蹄岩隧道内，起点桩号K14+080，与规划的宜都至来凤高速公路宜昌段对接，整体走向为东西向。起点穿马蹄岩隧道后，经燕子镇清湖村、穿舒家隧道至湖坪、穿王家隧道经岩桩坪、油坪村至燕子镇，设燕子互通连接国道G351，向西经杨家坪跨G351 后穿杉树坪隧道至溪坪，沿溪坪河沟谷从马家坎展线至田家坪，穿石龙隧道至吴家湾、经燕湾至云南庄，于云南庄北面设鹤峰东互通连接国道G351，跨云南庄特大桥后，在鹤峰县城南面设八峰隧道穿八峰山、跨溇水特大桥后，向西经水井湾、张坝冲，于龙潭坪附近与在建的宜都至来凤高速公路鹤峰(容美)至宣恩(当阳坪)段对接，终点桩号K52+737.171，全长38.617km。本项目按 4 车道高速公路标准修建，设计速度采用 80km/h，路基宽度 25.5m。</t>
  </si>
  <si>
    <t>宜都至来凤高速公路鹤峰东段土建工程造价咨询合同</t>
  </si>
  <si>
    <t>ZCC-Z21-BYS-004</t>
  </si>
  <si>
    <t>湖北宜都至来凤高速公路鹤峰东段二期路面施工承包合同预算（2021）</t>
  </si>
  <si>
    <t>ZCC-Z22-BYS-001</t>
  </si>
  <si>
    <t>湖北宜都至来凤高速公路鹤峰东段机电施工承包合同预算（2022）</t>
  </si>
  <si>
    <t>ZCC-Z22-BYS-002</t>
  </si>
  <si>
    <t>湖北宜都至来凤高速公路鹤峰东段交安、绿化施工承包合同预算（2022）</t>
  </si>
  <si>
    <t>ZCC-Z23-BQD-003</t>
  </si>
  <si>
    <t>湖北省二广高速公路荆州绕城段（不含李埠长江公欣大桥）项目投资人投标合作单位遴选清单预算（2023）</t>
  </si>
  <si>
    <t>53.66（K0+988.9~K53+656.9）</t>
  </si>
  <si>
    <t>二广高速荆州绕城段起于荆州市纪南镇草安村，主线顺接现状 G55 二广高速向西南前行，设草安枢纽互通与二广高速相接；向西南至江店村，设纪南互通接武王大道、G318；于朱集村设纪南服务区，在G318 的北侧经八岭山镇王场村，在童桥村与 G50 汉宜高速相交，设荆州西枢纽互通；在黄家台下穿沪蓉铁路；于土龙冲设高新互通接规划高沙路、G318 及高新区农产品加工园；路线继续向西，跨 G318 至蔡家台，设复兴互通接复兴大道，沿规划荆岳高铁西侧向南，在李埠设李埠互通接沿江大道，于蒋家塆跨荆江大堤；经李埠长江公铁大桥跨越长江。跨越长江后，至荆州区弥市镇谢家垸，于新华村设弥市互通接荆松一级公路；路线向南在弥市村跨 S322，在普化观设弥市停车区；于合兴村跨虎渡河至公安县埠河镇水月村；在群合村与现状 G55 二广高速相接，设群英枢纽互通，向南拓宽改建 G55 二广高速公路至夹竹园镇杨家湖村，与武汉至松滋高速公路相接。本项目主线推荐方案路线全长约 44.8km，全线设桥梁 37502.5m/28 座（无特殊结构特大桥），其中特大桥32814.5m/14 座、大桥 4009m/7 座，中桥 679m/7 座，桥梁比例 83.752%，涵洞 30 道；互通式立体交叉 8 处，其中枢纽互通 3 处，服务型互通 5处，收费站 5 处，服务区 1 处，停车区 1 处。本项目全线拟采用设计速度 120km/h，路基宽度 34.5m、双向 6 车道高速公路标准建设。为进一步完善当地路网功能，推进城区建设，充分发挥本项目对沿线经济的带动作用，本项目设李埠互通连接线约3.4km，李埠长江公铁大桥两岸G207接线工程约 8.9km，均为双向四车道一级公路标准。</t>
  </si>
  <si>
    <t>二广高速公路荆州绕城段（K1+000.362～K52+757.044不含李埠长江大桥）投资人投标合作单位遴选招标造价咨询合同（无纸质）</t>
  </si>
  <si>
    <t>ZCC-Z23-BQD-004</t>
  </si>
  <si>
    <t>湖北省房县至五峰高速公路房县段投资人投标合作单位遴选清单预算（2023）</t>
  </si>
  <si>
    <t>31.6km</t>
  </si>
  <si>
    <t>房县至五峰高速公路房县段路线北起房县莲花村，于呼北高速十房段房县收费站北侧 1.1 公里处与呼北高速十房段顺接，路线向西与麻安高速并行，于呼北高速十房段房县收费站西侧 2.7 公里处和麻安高速交叉，向南过熊家凸、向家沟、七里沟，于赵家村向南沿 G209 走廊布线，过野人谷镇，设置尧治河北互通接 209 国道，于杜川设置隧道进入神农架境内，对接房县至五峰高速公路神农架段高速公路。路线全线位于房县境内，路线总体呈南北走向。路线全长约 31.6km，枢纽互通 2 处（1 处利用），一般互通 2处，养护工区 1 处，匝道收费站 2 处，按设计速度 80 km /小时、路基宽 25.5 m 的双向四车道高速公路标准建设。主线桥梁设特大桥 7329 m /5座，大桥 6936.25 m /17 座，中、小桥 97m/1 米，特长隧道 5214m/0.5座，长隧道 2830m/1 座，中、短隧道 3752 米/10 座。项目总投资估算约 73 亿元。(以项目核准文件为准) 。</t>
  </si>
  <si>
    <t>房县至五峰高速公路房县段投资人投标合作单位遴选招标造价咨询合同（无纸质）</t>
  </si>
  <si>
    <t>ZCC-Z23-BQD-005</t>
  </si>
  <si>
    <t>湖北省房县至五峰高速公路兴山段投资人投标合作单位遴选清单预算(2023)</t>
  </si>
  <si>
    <t>47km（k0+661.83~k47+466)</t>
  </si>
  <si>
    <t>房县至五峰高速公路兴山段：全长约47公里，连接线里程约6公里。全线拟按设计速度80公里/小时、路基宽25.5米双向四车道的高速公路标准建设。全线设置特大桥3240米/2座，设置特长隧道23545米/4座，长隧道11675米/6座，桥隧比96%；设置互通2处，收费管理站、养护工区1处、服务区各1处。估算总投资约为112亿元。</t>
  </si>
  <si>
    <t>房县至五峰高速公路兴山段投资人投标合作单位遴选招标造价咨询合同（无纸质）</t>
  </si>
  <si>
    <t>ZCC-Z23-BQD-006</t>
  </si>
  <si>
    <t>湖北省房县至五峰高速公路长阳至五峰段投资人投标合作单位遴选清单预算（2023）</t>
  </si>
  <si>
    <t>54km(k120+920~k175+190)</t>
  </si>
  <si>
    <t>房县至五峰高速公路长阳至五峰段：全长约54公里。全线拟按设计速度80公里/小时、路基宽25.5米双向四车道的高速公路标准建设。推荐方案设置特大桥6646米/座，其中，清江特大桥推荐方案主桥采用主跨670米悬索桥。设置特长隧道21658米/3座，长隧道2649米/1座，桥隧比82%；设置互通3处，管理监控中心1处，收费管理站2处，养护工区、服务区、路政大队营房各1处。估算总投资约152亿元。</t>
  </si>
  <si>
    <t>房县至五峰高速公路长阳至五峰段投资人投标合作单位遴选招标造价咨询合同（无纸质）</t>
  </si>
  <si>
    <t>ZCC-Z23-BXJ-007</t>
  </si>
  <si>
    <t>北京通州区九德路（张台路--潞西路）改建工程交通工程最高限价编制（2023）</t>
  </si>
  <si>
    <t>最高限价、清单及计量规则编制</t>
  </si>
  <si>
    <t>4.21km(K6+207~K10+400)</t>
  </si>
  <si>
    <t>通州区九德路（张台路--潞西路）改建工程项目位于北京市通州区中南部，起点位于现状张台路路口南（K6+207),终点与现状潞西路（K10+400）相接。九德路（张台路--潞西路）改建工程全长4.21公里，设计标准按照一级公路标准建设，设计速度80公里/小时，桥涵设计荷载等级为公路I级，道路红线宽度50-70米。
编制范围：本项目交通工程包括：交通安全设施、监控系统、声屏障等图纸所票全部内容的实施。</t>
  </si>
  <si>
    <t>ZCC-Z23-BXJ-008</t>
  </si>
  <si>
    <t>通州区九德路（张台路--潞西路）改建工程项目位于北京市通州区中南部，起点位于现状张台路路口南（K6+207),终点与现状潞西路（K10+400）相接。九德路（张台路--潞西路）改建工程全长4.21公里，设计标准按照一级公路标准建设，设计速度80公里/小时，桥涵设计荷载等级为公路I级，道路红线宽度50-70米。
编制范围：绿化工程及附属工程等图纸所示全部内容。</t>
  </si>
  <si>
    <t>ZCC-Z23-BXJ-009</t>
  </si>
  <si>
    <t>通州区九德路（张台路--潞西路）改建工程项目位于北京市通州区中南部，起点位于现状张台路路口南（K6+207),终点与现状潞西路（K10+400）相接。九德路（张台路--潞西路）改建工程全长4.21公里，设计标准按照一级公路标准建设，设计速度80公里/小时，桥涵设计荷载等级为公路I级，道路红线宽度50-70米。
编制范围：照明工程、外电工程等图纸所示全部内容。</t>
  </si>
  <si>
    <t>沽源县青年湖北大桥工程施工招标窑价编制资料（2022）</t>
    <phoneticPr fontId="8" type="noConversion"/>
  </si>
  <si>
    <t>ZCC-Z22-BXJ-003</t>
    <phoneticPr fontId="8" type="noConversion"/>
  </si>
  <si>
    <t>最高限价编制</t>
    <phoneticPr fontId="8" type="noConversion"/>
  </si>
  <si>
    <t>0.503986km(K0+000~K0+503.986)</t>
    <phoneticPr fontId="8" type="noConversion"/>
  </si>
  <si>
    <t>市政道路</t>
    <phoneticPr fontId="8" type="noConversion"/>
  </si>
  <si>
    <t>市政工程</t>
    <phoneticPr fontId="8" type="noConversion"/>
  </si>
  <si>
    <t>青年湖位于张家口沽源县县城中心。拟建项目起点位于现状城北路，与现状顺接，桩号K0+000,终点止于东岸路，终点桩号K0+503.986，线路全长503.986m。
编制范围：本项目工程施工招标控制价编制，包含路基、路面、桥梁工程、照明工程（不含景观照明）、绿化工程、排水工程、交通工程等。</t>
    <phoneticPr fontId="8" type="noConversion"/>
  </si>
  <si>
    <t>沽源县青年湖北大桥工程造价咨询合同</t>
    <phoneticPr fontId="8" type="noConversion"/>
  </si>
  <si>
    <t>沽源县交通运输局</t>
    <phoneticPr fontId="8" type="noConversion"/>
  </si>
  <si>
    <t>郑丽娟</t>
    <phoneticPr fontId="8" type="noConversion"/>
  </si>
  <si>
    <t>无</t>
    <phoneticPr fontId="8" type="noConversion"/>
  </si>
  <si>
    <t>有</t>
    <phoneticPr fontId="8" type="noConversion"/>
  </si>
  <si>
    <t>北京通州区九德路（张台路--潞西路）改建工程绿化工程最高限价编制（2023）</t>
    <phoneticPr fontId="8" type="noConversion"/>
  </si>
  <si>
    <t>北京通州区九德路（张台路--潞西路）改建工程照明工程最高限价编制（2023）</t>
    <phoneticPr fontId="8" type="noConversion"/>
  </si>
  <si>
    <t>最高限价、清单及计量规则编制</t>
    <phoneticPr fontId="8" type="noConversion"/>
  </si>
  <si>
    <t>公路工程</t>
    <phoneticPr fontId="8" type="noConversion"/>
  </si>
  <si>
    <t>国道331线保兴至嘉荫、嘉荫（稻田村）至嘉逊界（双胜村）、嘉逊界（双胜村）至逊克、卧牛湖至黑呼界、黑呼界至老道店、老道店至呼玛段房建工程造价咨询合同（付）</t>
    <phoneticPr fontId="8" type="noConversion"/>
  </si>
  <si>
    <t>哈尔滨诚达工程投资咨询有限公司</t>
    <phoneticPr fontId="8" type="noConversion"/>
  </si>
  <si>
    <t>肖博</t>
    <phoneticPr fontId="8" type="noConversion"/>
  </si>
  <si>
    <t>91230199775015769J </t>
  </si>
  <si>
    <t>ZCC-Z25-BXJ-001</t>
    <phoneticPr fontId="8" type="noConversion"/>
  </si>
  <si>
    <t>公路工程</t>
    <phoneticPr fontId="8" type="noConversion"/>
  </si>
  <si>
    <t>/</t>
    <phoneticPr fontId="8" type="noConversion"/>
  </si>
  <si>
    <t>二级、三级路</t>
    <phoneticPr fontId="8" type="noConversion"/>
  </si>
  <si>
    <t>国道331线保兴至至嘉荫段仁和村服务型道班服务区综合楼、附属用房、熊出没停车区公厕；嘉荫（稻田村）至嘉逊界（双胜村）段茅兰服务区综合楼、附属用房、河沿村停车区公厕；嘉逊界（双胜村）至逊克段库尔滨服务型道班服务区综合楼、附属用房；卧牛湖至黑呼界段白石砬子服务区综合楼、附属用房、达因山停车区公厕、黑呼交界停车区公布、石矿停车区公厕；黑呼界至老道店段三卡养护工区综合楼、附属用房、探江龙停车区公厕；老道店至呼玛段呼玛养护工区综合楼、附属用房等土建、装饰、给排水、采暖、通风空调、消防、电气、弱电、场区室外管网及附属构筑物、场区室外工程（包括但不限于围墙、雨棚及其附属、台阶）等的工程造价服务。</t>
    <phoneticPr fontId="8" type="noConversion"/>
  </si>
  <si>
    <t>无</t>
    <phoneticPr fontId="8" type="noConversion"/>
  </si>
  <si>
    <t>国道331线保兴至嘉荫、嘉荫（稻田村）至嘉逊界（双胜村）、嘉逊界（双胜村）至逊克、卧牛湖至黑呼界、黑呼界至老道店、老道店至呼玛段房建工程造价咨询合同（外委）</t>
    <phoneticPr fontId="8" type="noConversion"/>
  </si>
  <si>
    <t>醉美龙江331边防路二期（二批）房建工程招标控制价资料汇编（2025，外委）</t>
    <phoneticPr fontId="8" type="noConversion"/>
  </si>
  <si>
    <t>吉黑高速明水至北安段工程项目、国道黑大公路宝泉至永丰段项目房建工程造价咨询合同（付）</t>
    <phoneticPr fontId="8" type="noConversion"/>
  </si>
  <si>
    <t>陶意诚</t>
    <phoneticPr fontId="8" type="noConversion"/>
  </si>
  <si>
    <t>湖北交投江北东高速公路有限公司保康至神农架等高速公路项目调整概算审核咨询协议书</t>
    <phoneticPr fontId="8" type="noConversion"/>
  </si>
  <si>
    <t>广州敦明工程咨询有限公司</t>
    <phoneticPr fontId="8" type="noConversion"/>
  </si>
  <si>
    <t>郑丽娟</t>
    <phoneticPr fontId="8" type="noConversion"/>
  </si>
  <si>
    <t>湖北交投集团2025年度高速公路建设项目十堰至淅川高速公路（湖北段）工程痉工结算审计服务GCJSSJ-8标段协议书</t>
    <phoneticPr fontId="8" type="noConversion"/>
  </si>
  <si>
    <t>四川建设网有限责任公司</t>
    <phoneticPr fontId="8" type="noConversion"/>
  </si>
  <si>
    <t>洪永道</t>
    <phoneticPr fontId="8" type="noConversion"/>
  </si>
  <si>
    <t>湖南省高速公路集团有限责任公司电子招投标采购交易平台建设项目合作建设、运营、维护协议书</t>
    <phoneticPr fontId="8" type="noConversion"/>
  </si>
  <si>
    <t>湖南省路桥建设集团有限责任公司电子招投标采购交易平台建设项目合作建设、运营、维护协议书</t>
    <phoneticPr fontId="8" type="noConversion"/>
  </si>
  <si>
    <t>青海省公路局非必招建设项目电子招投标采购交易平台建设项目合作建设、运营、维护协议书</t>
    <phoneticPr fontId="8" type="noConversion"/>
  </si>
  <si>
    <t>黑龙江政企招采数字服务平台建设项目合作建设、运营、维护补充协议书</t>
    <phoneticPr fontId="8" type="noConversion"/>
  </si>
  <si>
    <t>北京海关甜水园、光华路及和平里北街部分办公用房改造项目全过程造价咨询合同补充协议</t>
    <phoneticPr fontId="8" type="noConversion"/>
  </si>
  <si>
    <t>中华人民共和国北京海关</t>
    <phoneticPr fontId="8" type="noConversion"/>
  </si>
  <si>
    <t xml:space="preserve">11100000400010320T </t>
    <phoneticPr fontId="8" type="noConversion"/>
  </si>
  <si>
    <t>巴东至张家界高速沪蓉沪渝连接段（含巴东长江二桥）BZXLQYJ-1标段三峡库区复杂地质条件超高塔千米级斜拉桥关键建造技术研究服务造价咨询合同</t>
    <phoneticPr fontId="10" type="noConversion"/>
  </si>
  <si>
    <t>巴东至张家界高速沪蓉沪渝连接段（含巴东长江二桥）隧道工程初期支护检测服务BZSDJC-1标段造价咨询合同</t>
    <phoneticPr fontId="10" type="noConversion"/>
  </si>
  <si>
    <t>巴东至张家界高速沪蓉沪渝连接段（含巴东长江二桥）深部岩溶水文地质和工程地质专题技术咨询服务造价咨询合同</t>
    <phoneticPr fontId="10" type="noConversion"/>
  </si>
  <si>
    <t>鄂州机场高速公路二期工程污水处理工程施工招标最高投标限价造价咨询合同</t>
    <phoneticPr fontId="10" type="noConversion"/>
  </si>
  <si>
    <t>鄂州机场高速公路二期工程加油站及相关配套设施施工招标最高投标限价造价咨询合同</t>
    <phoneticPr fontId="10" type="noConversion"/>
  </si>
  <si>
    <t>鄂州机场高速公路二期工程声屏障工程施工招标最高投标限价造价咨询合同</t>
    <phoneticPr fontId="10" type="noConversion"/>
  </si>
  <si>
    <t>鄂州机场高速公路二期工程交通安全设施工程施工招标最高投标限价造价咨询合同</t>
    <phoneticPr fontId="10" type="noConversion"/>
  </si>
  <si>
    <t>G690线特克斯--喀拉峻公路建设项目造价咨询合同</t>
    <phoneticPr fontId="10" type="noConversion"/>
  </si>
  <si>
    <t>G578线乔尔玛至G3033线乔尔玛互通建设项目造价咨询合同</t>
    <phoneticPr fontId="10" type="noConversion"/>
  </si>
  <si>
    <t>新疆2025年度第三批次路面改造工程施工造价咨询合同</t>
    <phoneticPr fontId="10" type="noConversion"/>
  </si>
  <si>
    <t>新疆2025年度第二批次路面改造工程施工造价咨询合同</t>
    <phoneticPr fontId="10" type="noConversion"/>
  </si>
  <si>
    <t>新疆某项目造价咨询合同</t>
    <phoneticPr fontId="10" type="noConversion"/>
  </si>
  <si>
    <t>黑龙江醉美331二期二批附属工程施工招标最高投标限价造价咨询合同</t>
    <phoneticPr fontId="10" type="noConversion"/>
  </si>
  <si>
    <t>肖博</t>
    <phoneticPr fontId="10" type="noConversion"/>
  </si>
  <si>
    <t xml:space="preserve">  2025-9-15</t>
    <phoneticPr fontId="10" type="noConversion"/>
  </si>
  <si>
    <t>广联达科技股份有限公司</t>
    <phoneticPr fontId="8" type="noConversion"/>
  </si>
  <si>
    <t>广联达合同（2026.5-2027.5）付</t>
    <phoneticPr fontId="8" type="noConversion"/>
  </si>
  <si>
    <t>陶意诚</t>
    <phoneticPr fontId="8" type="noConversion"/>
  </si>
  <si>
    <t xml:space="preserve">91110000700049024C‌ </t>
    <phoneticPr fontId="8" type="noConversion"/>
  </si>
  <si>
    <t>认证服务合同书（管理体系）付</t>
    <phoneticPr fontId="10" type="noConversion"/>
  </si>
  <si>
    <t>北京海德国际认证有限公司</t>
    <phoneticPr fontId="10" type="noConversion"/>
  </si>
  <si>
    <t>ISO认证咨询服务合同书（付）</t>
    <phoneticPr fontId="10" type="noConversion"/>
  </si>
  <si>
    <t>特伊国际认证（北京）有限公司</t>
    <phoneticPr fontId="10" type="noConversion"/>
  </si>
  <si>
    <t>刘奕</t>
    <phoneticPr fontId="8" type="noConversion"/>
  </si>
  <si>
    <t>91110105741575522M‌</t>
    <phoneticPr fontId="10" type="noConversion"/>
  </si>
  <si>
    <t>91110112681962298C</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</si>
</sst>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_ "/>
  </numFmts>
  <fonts count="11" x14ac:knownFonts="1">
    <font>
      <sz val="11"/>
      <color theme="1"/>
      <name val="宋体"/>
      <charset val="134"/>
      <scheme val="minor"/>
    </font>
    <font>
      <b/>
      <sz val="14"/>
      <color theme="1"/>
      <name val="宋体"/>
      <family val="3"/>
      <charset val="134"/>
      <scheme val="minor"/>
    </font>
    <font>
      <b/>
      <sz val="11"/>
      <color theme="1"/>
      <name val="宋体"/>
      <family val="3"/>
      <charset val="134"/>
      <scheme val="minor"/>
    </font>
    <font>
      <sz val="10"/>
      <color theme="1"/>
      <name val="宋体"/>
      <family val="3"/>
      <charset val="134"/>
      <scheme val="minor"/>
    </font>
    <font>
      <sz val="10"/>
      <name val="宋体"/>
      <family val="3"/>
      <charset val="134"/>
      <scheme val="minor"/>
    </font>
    <font>
      <sz val="10"/>
      <name val="宋体"/>
      <family val="3"/>
      <charset val="134"/>
    </font>
    <font>
      <sz val="12"/>
      <name val="宋体"/>
      <family val="3"/>
      <charset val="134"/>
    </font>
    <font>
      <sz val="11"/>
      <color theme="1"/>
      <name val="宋体"/>
      <family val="3"/>
      <charset val="134"/>
      <scheme val="minor"/>
    </font>
    <font>
      <sz val="9"/>
      <name val="宋体"/>
      <family val="3"/>
      <charset val="134"/>
      <scheme val="minor"/>
    </font>
    <font>
      <sz val="11"/>
      <color theme="1"/>
      <name val="宋体"/>
      <family val="3"/>
      <charset val="134"/>
      <scheme val="minor"/>
    </font>
    <font>
      <sz val="9"/>
      <name val="宋体"/>
      <family val="3"/>
      <charset val="13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3">
    <xf numFmtId="0" fontId="0" fillId="0" borderId="0">
      <alignment vertical="center"/>
    </xf>
    <xf numFmtId="0" fontId="6" fillId="0" borderId="0">
      <alignment vertical="center"/>
    </xf>
    <xf numFmtId="0" fontId="7" fillId="0" borderId="0">
      <alignment vertical="center"/>
    </xf>
    <xf numFmtId="0" fontId="6"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7" fillId="0" borderId="0">
      <alignment vertical="center"/>
    </xf>
    <xf numFmtId="0" fontId="6" fillId="0" borderId="0">
      <alignment vertical="center"/>
    </xf>
    <xf numFmtId="0" fontId="7" fillId="0" borderId="0">
      <alignment vertical="center"/>
    </xf>
    <xf numFmtId="0" fontId="6" fillId="0" borderId="0">
      <alignment vertical="center"/>
    </xf>
    <xf numFmtId="0" fontId="7" fillId="0" borderId="0">
      <alignment vertical="center"/>
    </xf>
    <xf numFmtId="0" fontId="6"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cellStyleXfs>
  <cellXfs count="70">
    <xf numFmtId="0" fontId="0" fillId="0" borderId="0" xfId="0">
      <alignment vertical="center"/>
    </xf>
    <xf numFmtId="0" fontId="0" fillId="2" borderId="1" xfId="0" applyFill="1" applyBorder="1" applyAlignment="1">
      <alignment vertical="center" wrapText="1"/>
    </xf>
    <xf numFmtId="176" fontId="0" fillId="2" borderId="1" xfId="0" applyNumberFormat="1" applyFill="1" applyBorder="1">
      <alignment vertical="center"/>
    </xf>
    <xf numFmtId="0" fontId="0" fillId="2" borderId="1" xfId="0" applyFill="1" applyBorder="1">
      <alignment vertical="center"/>
    </xf>
    <xf numFmtId="14" fontId="0" fillId="2" borderId="1" xfId="0" applyNumberFormat="1" applyFill="1" applyBorder="1">
      <alignment vertical="center"/>
    </xf>
    <xf numFmtId="0" fontId="0" fillId="0" borderId="0" xfId="0" applyAlignment="1">
      <alignment vertical="center" wrapText="1"/>
    </xf>
    <xf numFmtId="0" fontId="0" fillId="2" borderId="0" xfId="0" applyFill="1" applyAlignment="1">
      <alignment vertical="center" wrapText="1"/>
    </xf>
    <xf numFmtId="0" fontId="1"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49" fontId="0" fillId="2" borderId="1" xfId="0" applyNumberFormat="1" applyFill="1" applyBorder="1" applyAlignment="1">
      <alignment vertical="center" wrapText="1"/>
    </xf>
    <xf numFmtId="0" fontId="0" fillId="0" borderId="1" xfId="0" applyBorder="1" applyAlignment="1">
      <alignment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right" vertical="center" wrapText="1"/>
    </xf>
    <xf numFmtId="14" fontId="0" fillId="2" borderId="1" xfId="0" applyNumberFormat="1" applyFill="1" applyBorder="1" applyAlignment="1">
      <alignment vertical="center" wrapText="1"/>
    </xf>
    <xf numFmtId="49" fontId="0" fillId="2" borderId="1" xfId="0" applyNumberFormat="1" applyFill="1" applyBorder="1" applyAlignment="1">
      <alignment horizontal="right" vertical="center" wrapText="1"/>
    </xf>
    <xf numFmtId="14" fontId="0" fillId="0" borderId="1" xfId="0" applyNumberFormat="1" applyBorder="1" applyAlignment="1">
      <alignment vertical="center" wrapText="1"/>
    </xf>
    <xf numFmtId="0" fontId="3" fillId="2" borderId="1" xfId="0" applyFont="1" applyFill="1" applyBorder="1" applyAlignment="1">
      <alignment vertical="center" wrapText="1"/>
    </xf>
    <xf numFmtId="57" fontId="0" fillId="2" borderId="1" xfId="0" applyNumberFormat="1" applyFill="1" applyBorder="1" applyAlignment="1">
      <alignment vertical="center" wrapText="1"/>
    </xf>
    <xf numFmtId="14" fontId="0" fillId="2" borderId="1" xfId="0" applyNumberFormat="1" applyFill="1" applyBorder="1" applyAlignment="1">
      <alignment horizontal="center" vertical="center" wrapText="1"/>
    </xf>
    <xf numFmtId="14" fontId="0" fillId="0" borderId="0" xfId="0" applyNumberFormat="1" applyAlignment="1">
      <alignment vertical="center" wrapText="1"/>
    </xf>
    <xf numFmtId="14" fontId="0" fillId="2" borderId="0" xfId="0" applyNumberFormat="1" applyFill="1" applyAlignment="1">
      <alignment vertical="center" wrapText="1"/>
    </xf>
    <xf numFmtId="0" fontId="0" fillId="2" borderId="0" xfId="0" applyFill="1">
      <alignment vertical="center"/>
    </xf>
    <xf numFmtId="176" fontId="0" fillId="2" borderId="0" xfId="0" applyNumberFormat="1" applyFill="1">
      <alignment vertical="center"/>
    </xf>
    <xf numFmtId="14" fontId="0" fillId="2" borderId="0" xfId="0" applyNumberFormat="1" applyFill="1">
      <alignment vertical="center"/>
    </xf>
    <xf numFmtId="49" fontId="0" fillId="3" borderId="0" xfId="0" applyNumberFormat="1" applyFill="1" applyAlignment="1">
      <alignment vertical="center" wrapText="1"/>
    </xf>
    <xf numFmtId="176" fontId="0" fillId="2" borderId="1" xfId="0" applyNumberFormat="1" applyFill="1" applyBorder="1" applyAlignment="1">
      <alignment vertical="center" wrapText="1"/>
    </xf>
    <xf numFmtId="0" fontId="5" fillId="2" borderId="1" xfId="0" applyFont="1" applyFill="1" applyBorder="1" applyAlignment="1">
      <alignment vertical="center" wrapText="1"/>
    </xf>
    <xf numFmtId="176" fontId="5" fillId="2" borderId="1" xfId="0" applyNumberFormat="1" applyFont="1" applyFill="1" applyBorder="1" applyAlignment="1">
      <alignment vertical="center" wrapText="1"/>
    </xf>
    <xf numFmtId="14" fontId="5" fillId="2" borderId="1" xfId="0" applyNumberFormat="1" applyFont="1" applyFill="1" applyBorder="1" applyAlignment="1">
      <alignment vertical="center" wrapText="1"/>
    </xf>
    <xf numFmtId="0" fontId="5" fillId="0" borderId="1" xfId="18" applyFont="1" applyBorder="1" applyAlignment="1">
      <alignment vertical="center" wrapText="1"/>
    </xf>
    <xf numFmtId="176" fontId="5" fillId="0" borderId="1" xfId="37" applyNumberFormat="1" applyFont="1" applyBorder="1" applyAlignment="1">
      <alignment vertical="center" wrapText="1"/>
    </xf>
    <xf numFmtId="14" fontId="5" fillId="0" borderId="1" xfId="38" applyNumberFormat="1" applyFont="1" applyBorder="1" applyAlignment="1">
      <alignment vertical="center" wrapText="1"/>
    </xf>
    <xf numFmtId="176" fontId="0" fillId="0" borderId="1" xfId="0" applyNumberFormat="1" applyBorder="1">
      <alignment vertical="center"/>
    </xf>
    <xf numFmtId="0" fontId="0" fillId="0" borderId="1" xfId="0" applyBorder="1">
      <alignment vertical="center"/>
    </xf>
    <xf numFmtId="14" fontId="0" fillId="0" borderId="1" xfId="0" applyNumberFormat="1" applyBorder="1">
      <alignment vertical="center"/>
    </xf>
    <xf numFmtId="14" fontId="5" fillId="0" borderId="1" xfId="39" applyNumberFormat="1" applyFont="1" applyBorder="1" applyAlignment="1">
      <alignment vertical="center" wrapText="1"/>
    </xf>
    <xf numFmtId="14" fontId="5" fillId="0" borderId="1" xfId="3" applyNumberFormat="1" applyFont="1" applyBorder="1" applyAlignment="1">
      <alignment vertical="center" wrapText="1"/>
    </xf>
    <xf numFmtId="14" fontId="5" fillId="0" borderId="1" xfId="40" applyNumberFormat="1" applyFont="1" applyBorder="1" applyAlignment="1">
      <alignment vertical="center" wrapText="1"/>
    </xf>
    <xf numFmtId="14" fontId="5" fillId="0" borderId="1" xfId="41" applyNumberFormat="1" applyFont="1" applyBorder="1" applyAlignment="1">
      <alignment vertical="center" wrapText="1"/>
    </xf>
    <xf numFmtId="14" fontId="5" fillId="0" borderId="1" xfId="42" applyNumberFormat="1" applyFont="1" applyBorder="1" applyAlignment="1">
      <alignment vertical="center" wrapText="1"/>
    </xf>
    <xf numFmtId="14" fontId="0" fillId="2" borderId="6" xfId="0" applyNumberFormat="1" applyFill="1" applyBorder="1">
      <alignment vertical="center"/>
    </xf>
    <xf numFmtId="49" fontId="0" fillId="3" borderId="1" xfId="0" applyNumberFormat="1" applyFill="1" applyBorder="1" applyAlignment="1">
      <alignment vertical="center" wrapText="1"/>
    </xf>
    <xf numFmtId="0" fontId="5" fillId="0" borderId="1" xfId="7" applyFont="1" applyBorder="1" applyAlignment="1">
      <alignment horizontal="left" vertical="center" wrapText="1"/>
    </xf>
    <xf numFmtId="0" fontId="5" fillId="0" borderId="1" xfId="17" applyFont="1" applyBorder="1" applyAlignment="1">
      <alignment vertical="center" wrapText="1"/>
    </xf>
    <xf numFmtId="0" fontId="5" fillId="0" borderId="1" xfId="12" applyFont="1" applyBorder="1" applyAlignment="1">
      <alignment vertical="center" wrapText="1"/>
    </xf>
    <xf numFmtId="0" fontId="7" fillId="0" borderId="1" xfId="11" applyBorder="1">
      <alignment vertical="center"/>
    </xf>
    <xf numFmtId="14" fontId="5" fillId="0" borderId="1" xfId="14" applyNumberFormat="1" applyFont="1" applyBorder="1" applyAlignment="1">
      <alignment vertical="center" wrapText="1"/>
    </xf>
    <xf numFmtId="0" fontId="5" fillId="0" borderId="1" xfId="10" applyFont="1" applyBorder="1" applyAlignment="1">
      <alignment horizontal="left" vertical="center" wrapText="1"/>
    </xf>
    <xf numFmtId="0" fontId="5" fillId="0" borderId="1" xfId="16"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14" fontId="5" fillId="0" borderId="1" xfId="0" applyNumberFormat="1" applyFont="1" applyBorder="1" applyAlignment="1">
      <alignment vertical="center" wrapText="1"/>
    </xf>
    <xf numFmtId="0" fontId="9" fillId="2" borderId="1" xfId="0" applyFont="1" applyFill="1" applyBorder="1" applyAlignment="1">
      <alignment vertical="center" wrapText="1"/>
    </xf>
    <xf numFmtId="0" fontId="9" fillId="2" borderId="1" xfId="0" applyFont="1" applyFill="1" applyBorder="1">
      <alignment vertical="center"/>
    </xf>
    <xf numFmtId="0" fontId="9" fillId="2" borderId="1" xfId="0" applyFont="1" applyFill="1" applyBorder="1" applyAlignment="1">
      <alignment horizontal="center" vertical="center" wrapText="1"/>
    </xf>
    <xf numFmtId="0" fontId="7" fillId="2" borderId="1" xfId="0" applyFont="1" applyFill="1" applyBorder="1" applyAlignment="1">
      <alignment vertical="center" wrapText="1"/>
    </xf>
    <xf numFmtId="49" fontId="7" fillId="3" borderId="1" xfId="0" applyNumberFormat="1" applyFont="1" applyFill="1" applyBorder="1" applyAlignment="1">
      <alignment vertical="center" wrapText="1"/>
    </xf>
    <xf numFmtId="0" fontId="7" fillId="2" borderId="1" xfId="0" applyFont="1" applyFill="1" applyBorder="1">
      <alignment vertical="center"/>
    </xf>
    <xf numFmtId="0" fontId="1"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14" fontId="0" fillId="2" borderId="6" xfId="0" applyNumberFormat="1" applyFill="1" applyBorder="1" applyAlignment="1">
      <alignment horizontal="center" vertical="center" wrapText="1"/>
    </xf>
    <xf numFmtId="49" fontId="5" fillId="3" borderId="1" xfId="0" applyNumberFormat="1" applyFont="1" applyFill="1" applyBorder="1" applyAlignment="1">
      <alignment vertical="center" wrapText="1"/>
    </xf>
  </cellXfs>
  <cellStyles count="43">
    <cellStyle name="常规" xfId="0" builtinId="0"/>
    <cellStyle name="常规 10" xfId="7" xr:uid="{00000000-0005-0000-0000-000035000000}"/>
    <cellStyle name="常规 11" xfId="9" xr:uid="{00000000-0005-0000-0000-000039000000}"/>
    <cellStyle name="常规 12" xfId="4" xr:uid="{00000000-0005-0000-0000-000015000000}"/>
    <cellStyle name="常规 13" xfId="10" xr:uid="{00000000-0005-0000-0000-00003A000000}"/>
    <cellStyle name="常规 14" xfId="11" xr:uid="{00000000-0005-0000-0000-00003B000000}"/>
    <cellStyle name="常规 15" xfId="13" xr:uid="{00000000-0005-0000-0000-00003D000000}"/>
    <cellStyle name="常规 16" xfId="6" xr:uid="{00000000-0005-0000-0000-000025000000}"/>
    <cellStyle name="常规 17" xfId="15" xr:uid="{00000000-0005-0000-0000-00003F000000}"/>
    <cellStyle name="常规 18" xfId="16" xr:uid="{00000000-0005-0000-0000-000040000000}"/>
    <cellStyle name="常规 19" xfId="17" xr:uid="{00000000-0005-0000-0000-000041000000}"/>
    <cellStyle name="常规 2" xfId="18" xr:uid="{00000000-0005-0000-0000-000042000000}"/>
    <cellStyle name="常规 2 10" xfId="8" xr:uid="{00000000-0005-0000-0000-000037000000}"/>
    <cellStyle name="常规 2 11" xfId="2" xr:uid="{00000000-0005-0000-0000-000006000000}"/>
    <cellStyle name="常规 2 12" xfId="19" xr:uid="{00000000-0005-0000-0000-000043000000}"/>
    <cellStyle name="常规 2 13" xfId="5" xr:uid="{00000000-0005-0000-0000-000022000000}"/>
    <cellStyle name="常规 2 14" xfId="20" xr:uid="{00000000-0005-0000-0000-000044000000}"/>
    <cellStyle name="常规 2 15" xfId="21" xr:uid="{00000000-0005-0000-0000-000045000000}"/>
    <cellStyle name="常规 2 16" xfId="22" xr:uid="{00000000-0005-0000-0000-000046000000}"/>
    <cellStyle name="常规 2 2" xfId="23" xr:uid="{00000000-0005-0000-0000-000047000000}"/>
    <cellStyle name="常规 2 2 2" xfId="24" xr:uid="{00000000-0005-0000-0000-000048000000}"/>
    <cellStyle name="常规 2 2 3" xfId="25" xr:uid="{00000000-0005-0000-0000-000049000000}"/>
    <cellStyle name="常规 2 2 4" xfId="1" xr:uid="{00000000-0005-0000-0000-000003000000}"/>
    <cellStyle name="常规 2 2 5" xfId="26" xr:uid="{00000000-0005-0000-0000-00004A000000}"/>
    <cellStyle name="常规 2 2 6" xfId="27" xr:uid="{00000000-0005-0000-0000-00004B000000}"/>
    <cellStyle name="常规 2 2 7" xfId="28" xr:uid="{00000000-0005-0000-0000-00004C000000}"/>
    <cellStyle name="常规 2 2 8" xfId="29" xr:uid="{00000000-0005-0000-0000-00004D000000}"/>
    <cellStyle name="常规 2 3" xfId="30" xr:uid="{00000000-0005-0000-0000-00004E000000}"/>
    <cellStyle name="常规 2 4" xfId="31" xr:uid="{00000000-0005-0000-0000-00004F000000}"/>
    <cellStyle name="常规 2 5" xfId="32" xr:uid="{00000000-0005-0000-0000-000050000000}"/>
    <cellStyle name="常规 2 6" xfId="33" xr:uid="{00000000-0005-0000-0000-000051000000}"/>
    <cellStyle name="常规 2 7" xfId="34" xr:uid="{00000000-0005-0000-0000-000052000000}"/>
    <cellStyle name="常规 2 8" xfId="35" xr:uid="{00000000-0005-0000-0000-000053000000}"/>
    <cellStyle name="常规 2 9" xfId="36" xr:uid="{00000000-0005-0000-0000-000054000000}"/>
    <cellStyle name="常规 20" xfId="12" xr:uid="{00000000-0005-0000-0000-00003C000000}"/>
    <cellStyle name="常规 22" xfId="14" xr:uid="{00000000-0005-0000-0000-00003E000000}"/>
    <cellStyle name="常规 3" xfId="37" xr:uid="{00000000-0005-0000-0000-000055000000}"/>
    <cellStyle name="常规 4" xfId="38" xr:uid="{00000000-0005-0000-0000-000056000000}"/>
    <cellStyle name="常规 5" xfId="39" xr:uid="{00000000-0005-0000-0000-000057000000}"/>
    <cellStyle name="常规 6" xfId="3" xr:uid="{00000000-0005-0000-0000-000010000000}"/>
    <cellStyle name="常规 7" xfId="40" xr:uid="{00000000-0005-0000-0000-000058000000}"/>
    <cellStyle name="常规 8" xfId="41" xr:uid="{00000000-0005-0000-0000-000059000000}"/>
    <cellStyle name="常规 9" xfId="42" xr:uid="{00000000-0005-0000-0000-00005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2"/>
  <sheetViews>
    <sheetView tabSelected="1" workbookViewId="0">
      <pane ySplit="1" topLeftCell="A193" activePane="bottomLeft" state="frozen"/>
      <selection pane="bottomLeft" activeCell="B204" sqref="B204"/>
    </sheetView>
  </sheetViews>
  <sheetFormatPr defaultColWidth="8.88671875" defaultRowHeight="14.4" x14ac:dyDescent="0.25"/>
  <cols>
    <col min="1" max="1" width="8.88671875" style="24"/>
    <col min="2" max="2" width="45.21875" style="6" customWidth="1"/>
    <col min="3" max="3" width="28.88671875" style="6" customWidth="1"/>
    <col min="4" max="4" width="16.33203125" style="25" customWidth="1"/>
    <col min="5" max="7" width="8.88671875" style="24"/>
    <col min="8" max="8" width="11.6640625" style="26" customWidth="1"/>
    <col min="9" max="9" width="11.6640625" style="24" customWidth="1"/>
    <col min="10" max="10" width="20.88671875" style="27" customWidth="1"/>
    <col min="11" max="16384" width="8.88671875" style="24"/>
  </cols>
  <sheetData>
    <row r="1" spans="1:10" ht="28.8" x14ac:dyDescent="0.25">
      <c r="A1" s="3" t="s">
        <v>0</v>
      </c>
      <c r="B1" s="1" t="s">
        <v>1</v>
      </c>
      <c r="C1" s="1" t="s">
        <v>2</v>
      </c>
      <c r="D1" s="28" t="s">
        <v>3</v>
      </c>
      <c r="E1" s="1" t="s">
        <v>4</v>
      </c>
      <c r="F1" s="3" t="s">
        <v>5</v>
      </c>
      <c r="G1" s="3" t="s">
        <v>6</v>
      </c>
      <c r="H1" s="4" t="s">
        <v>7</v>
      </c>
      <c r="I1" s="3" t="s">
        <v>8</v>
      </c>
      <c r="J1" s="27" t="s">
        <v>9</v>
      </c>
    </row>
    <row r="2" spans="1:10" x14ac:dyDescent="0.25">
      <c r="A2" s="3">
        <v>1</v>
      </c>
      <c r="B2" s="1" t="s">
        <v>10</v>
      </c>
      <c r="C2" s="1" t="s">
        <v>11</v>
      </c>
      <c r="D2" s="2"/>
      <c r="E2" s="3"/>
      <c r="F2" s="3">
        <v>3</v>
      </c>
      <c r="G2" s="3" t="s">
        <v>12</v>
      </c>
      <c r="H2" s="4">
        <v>42874</v>
      </c>
      <c r="I2" s="4">
        <v>42887</v>
      </c>
    </row>
    <row r="3" spans="1:10" ht="28.8" x14ac:dyDescent="0.25">
      <c r="A3" s="3">
        <v>2</v>
      </c>
      <c r="B3" s="1" t="s">
        <v>13</v>
      </c>
      <c r="C3" s="1" t="s">
        <v>14</v>
      </c>
      <c r="D3" s="2">
        <v>6.4</v>
      </c>
      <c r="E3" s="3"/>
      <c r="F3" s="3">
        <v>1</v>
      </c>
      <c r="G3" s="3" t="s">
        <v>15</v>
      </c>
      <c r="H3" s="4">
        <v>42652</v>
      </c>
      <c r="I3" s="4">
        <v>42937</v>
      </c>
    </row>
    <row r="4" spans="1:10" ht="43.2" x14ac:dyDescent="0.25">
      <c r="A4" s="3">
        <v>3</v>
      </c>
      <c r="B4" s="1" t="s">
        <v>16</v>
      </c>
      <c r="C4" s="1" t="s">
        <v>17</v>
      </c>
      <c r="D4" s="2">
        <v>30.6873</v>
      </c>
      <c r="E4" s="3"/>
      <c r="F4" s="3">
        <v>4</v>
      </c>
      <c r="G4" s="3" t="s">
        <v>15</v>
      </c>
      <c r="H4" s="4">
        <v>42968</v>
      </c>
      <c r="I4" s="4">
        <v>43032</v>
      </c>
    </row>
    <row r="5" spans="1:10" ht="28.8" x14ac:dyDescent="0.25">
      <c r="A5" s="3">
        <v>4</v>
      </c>
      <c r="B5" s="1" t="s">
        <v>18</v>
      </c>
      <c r="C5" s="1" t="s">
        <v>19</v>
      </c>
      <c r="D5" s="2"/>
      <c r="E5" s="3"/>
      <c r="F5" s="3">
        <v>2</v>
      </c>
      <c r="G5" s="3" t="s">
        <v>20</v>
      </c>
      <c r="H5" s="4">
        <v>42826</v>
      </c>
      <c r="I5" s="4">
        <v>43032</v>
      </c>
    </row>
    <row r="6" spans="1:10" ht="43.2" x14ac:dyDescent="0.25">
      <c r="A6" s="3">
        <v>5</v>
      </c>
      <c r="B6" s="1" t="s">
        <v>21</v>
      </c>
      <c r="C6" s="1" t="s">
        <v>22</v>
      </c>
      <c r="D6" s="2">
        <v>10</v>
      </c>
      <c r="E6" s="3"/>
      <c r="F6" s="3">
        <v>4</v>
      </c>
      <c r="G6" s="3" t="s">
        <v>23</v>
      </c>
      <c r="H6" s="4">
        <v>42006</v>
      </c>
      <c r="I6" s="4">
        <v>43054</v>
      </c>
    </row>
    <row r="7" spans="1:10" ht="28.8" x14ac:dyDescent="0.25">
      <c r="A7" s="3">
        <v>6</v>
      </c>
      <c r="B7" s="1" t="s">
        <v>24</v>
      </c>
      <c r="C7" s="1" t="s">
        <v>25</v>
      </c>
      <c r="D7" s="2">
        <v>283.0367</v>
      </c>
      <c r="E7" s="3"/>
      <c r="F7" s="3">
        <v>2</v>
      </c>
      <c r="G7" s="3" t="s">
        <v>15</v>
      </c>
      <c r="H7" s="4">
        <v>42967</v>
      </c>
      <c r="I7" s="4">
        <v>43108</v>
      </c>
    </row>
    <row r="8" spans="1:10" ht="43.2" x14ac:dyDescent="0.25">
      <c r="A8" s="3">
        <v>7</v>
      </c>
      <c r="B8" s="1" t="s">
        <v>26</v>
      </c>
      <c r="C8" s="1" t="s">
        <v>22</v>
      </c>
      <c r="D8" s="2">
        <v>28</v>
      </c>
      <c r="E8" s="3"/>
      <c r="F8" s="3">
        <v>2</v>
      </c>
      <c r="G8" s="3" t="s">
        <v>23</v>
      </c>
      <c r="H8" s="4">
        <v>42739</v>
      </c>
      <c r="I8" s="4">
        <v>43123</v>
      </c>
    </row>
    <row r="9" spans="1:10" ht="28.8" x14ac:dyDescent="0.25">
      <c r="A9" s="3">
        <v>8</v>
      </c>
      <c r="B9" s="1" t="s">
        <v>27</v>
      </c>
      <c r="C9" s="1" t="s">
        <v>28</v>
      </c>
      <c r="D9" s="2">
        <v>10.57</v>
      </c>
      <c r="E9" s="3"/>
      <c r="F9" s="3">
        <v>2</v>
      </c>
      <c r="G9" s="3" t="s">
        <v>29</v>
      </c>
      <c r="H9" s="4">
        <v>42583</v>
      </c>
      <c r="I9" s="4">
        <v>43186</v>
      </c>
    </row>
    <row r="10" spans="1:10" ht="28.8" x14ac:dyDescent="0.25">
      <c r="A10" s="3">
        <v>9</v>
      </c>
      <c r="B10" s="1" t="s">
        <v>30</v>
      </c>
      <c r="C10" s="1" t="s">
        <v>28</v>
      </c>
      <c r="D10" s="2">
        <v>6.42</v>
      </c>
      <c r="E10" s="3"/>
      <c r="F10" s="3">
        <v>2</v>
      </c>
      <c r="G10" s="3" t="s">
        <v>29</v>
      </c>
      <c r="H10" s="4">
        <v>42614</v>
      </c>
      <c r="I10" s="4">
        <v>43186</v>
      </c>
    </row>
    <row r="11" spans="1:10" ht="28.8" x14ac:dyDescent="0.25">
      <c r="A11" s="3">
        <v>10</v>
      </c>
      <c r="B11" s="1" t="s">
        <v>31</v>
      </c>
      <c r="C11" s="1" t="s">
        <v>28</v>
      </c>
      <c r="D11" s="2">
        <v>21</v>
      </c>
      <c r="E11" s="3"/>
      <c r="F11" s="3">
        <v>2</v>
      </c>
      <c r="G11" s="3" t="s">
        <v>32</v>
      </c>
      <c r="H11" s="4">
        <v>42730</v>
      </c>
      <c r="I11" s="4">
        <v>43174</v>
      </c>
    </row>
    <row r="12" spans="1:10" ht="22.8" customHeight="1" x14ac:dyDescent="0.25">
      <c r="A12" s="3">
        <v>11</v>
      </c>
      <c r="B12" s="1" t="s">
        <v>33</v>
      </c>
      <c r="C12" s="1" t="s">
        <v>28</v>
      </c>
      <c r="D12" s="2">
        <v>23.07</v>
      </c>
      <c r="E12" s="3"/>
      <c r="F12" s="3">
        <v>2</v>
      </c>
      <c r="G12" s="3" t="s">
        <v>32</v>
      </c>
      <c r="H12" s="4">
        <v>42753</v>
      </c>
      <c r="I12" s="4">
        <v>43174</v>
      </c>
    </row>
    <row r="13" spans="1:10" x14ac:dyDescent="0.25">
      <c r="A13" s="3">
        <v>12</v>
      </c>
      <c r="B13" s="1" t="s">
        <v>34</v>
      </c>
      <c r="C13" s="1" t="s">
        <v>28</v>
      </c>
      <c r="D13" s="2">
        <v>5.36</v>
      </c>
      <c r="E13" s="3"/>
      <c r="F13" s="3">
        <v>2</v>
      </c>
      <c r="G13" s="3" t="s">
        <v>32</v>
      </c>
      <c r="H13" s="4">
        <v>42795</v>
      </c>
      <c r="I13" s="4">
        <v>43174</v>
      </c>
    </row>
    <row r="14" spans="1:10" x14ac:dyDescent="0.25">
      <c r="A14" s="3">
        <v>13</v>
      </c>
      <c r="B14" s="1" t="s">
        <v>35</v>
      </c>
      <c r="C14" s="1" t="s">
        <v>28</v>
      </c>
      <c r="D14" s="2">
        <v>38.26</v>
      </c>
      <c r="E14" s="3"/>
      <c r="F14" s="3">
        <v>2</v>
      </c>
      <c r="G14" s="3" t="s">
        <v>32</v>
      </c>
      <c r="H14" s="4">
        <v>42833</v>
      </c>
      <c r="I14" s="4">
        <v>43174</v>
      </c>
    </row>
    <row r="15" spans="1:10" ht="28.8" x14ac:dyDescent="0.25">
      <c r="A15" s="3">
        <v>14</v>
      </c>
      <c r="B15" s="1" t="s">
        <v>36</v>
      </c>
      <c r="C15" s="1" t="s">
        <v>28</v>
      </c>
      <c r="D15" s="2">
        <v>9.4</v>
      </c>
      <c r="E15" s="3"/>
      <c r="F15" s="3">
        <v>2</v>
      </c>
      <c r="G15" s="3" t="s">
        <v>32</v>
      </c>
      <c r="H15" s="4">
        <v>42843</v>
      </c>
      <c r="I15" s="4">
        <v>43174</v>
      </c>
    </row>
    <row r="16" spans="1:10" x14ac:dyDescent="0.25">
      <c r="A16" s="3">
        <v>15</v>
      </c>
      <c r="B16" s="1" t="s">
        <v>37</v>
      </c>
      <c r="C16" s="1" t="s">
        <v>28</v>
      </c>
      <c r="D16" s="2">
        <v>21.46</v>
      </c>
      <c r="E16" s="3"/>
      <c r="F16" s="3">
        <v>2</v>
      </c>
      <c r="G16" s="3" t="s">
        <v>32</v>
      </c>
      <c r="H16" s="4">
        <v>42868</v>
      </c>
      <c r="I16" s="4">
        <v>43174</v>
      </c>
    </row>
    <row r="17" spans="1:9" ht="28.8" x14ac:dyDescent="0.25">
      <c r="A17" s="3">
        <v>16</v>
      </c>
      <c r="B17" s="1" t="s">
        <v>38</v>
      </c>
      <c r="C17" s="1" t="s">
        <v>28</v>
      </c>
      <c r="D17" s="2">
        <v>5.4</v>
      </c>
      <c r="E17" s="3"/>
      <c r="F17" s="3">
        <v>2</v>
      </c>
      <c r="G17" s="3" t="s">
        <v>29</v>
      </c>
      <c r="H17" s="4">
        <v>42917</v>
      </c>
      <c r="I17" s="4">
        <v>43186</v>
      </c>
    </row>
    <row r="18" spans="1:9" ht="43.2" x14ac:dyDescent="0.25">
      <c r="A18" s="3">
        <v>17</v>
      </c>
      <c r="B18" s="1" t="s">
        <v>39</v>
      </c>
      <c r="C18" s="1" t="s">
        <v>40</v>
      </c>
      <c r="D18" s="2">
        <v>2.1</v>
      </c>
      <c r="E18" s="3"/>
      <c r="F18" s="3">
        <v>2</v>
      </c>
      <c r="G18" s="3" t="s">
        <v>41</v>
      </c>
      <c r="H18" s="4">
        <v>42962</v>
      </c>
      <c r="I18" s="4">
        <v>43185</v>
      </c>
    </row>
    <row r="19" spans="1:9" ht="43.2" x14ac:dyDescent="0.25">
      <c r="A19" s="3">
        <v>18</v>
      </c>
      <c r="B19" s="1" t="s">
        <v>42</v>
      </c>
      <c r="C19" s="1" t="s">
        <v>40</v>
      </c>
      <c r="D19" s="2">
        <v>1.9</v>
      </c>
      <c r="E19" s="3"/>
      <c r="F19" s="3">
        <v>2</v>
      </c>
      <c r="G19" s="3" t="s">
        <v>41</v>
      </c>
      <c r="H19" s="4">
        <v>42962</v>
      </c>
      <c r="I19" s="4">
        <v>43185</v>
      </c>
    </row>
    <row r="20" spans="1:9" ht="28.8" x14ac:dyDescent="0.25">
      <c r="A20" s="3">
        <v>19</v>
      </c>
      <c r="B20" s="1" t="s">
        <v>43</v>
      </c>
      <c r="C20" s="1" t="s">
        <v>28</v>
      </c>
      <c r="D20" s="2">
        <v>137</v>
      </c>
      <c r="E20" s="3"/>
      <c r="F20" s="3">
        <v>2</v>
      </c>
      <c r="G20" s="3" t="s">
        <v>32</v>
      </c>
      <c r="H20" s="4">
        <v>42950</v>
      </c>
      <c r="I20" s="4">
        <v>43174</v>
      </c>
    </row>
    <row r="21" spans="1:9" ht="28.8" x14ac:dyDescent="0.25">
      <c r="A21" s="3">
        <v>20</v>
      </c>
      <c r="B21" s="1" t="s">
        <v>44</v>
      </c>
      <c r="C21" s="1" t="s">
        <v>28</v>
      </c>
      <c r="D21" s="2">
        <v>23.52</v>
      </c>
      <c r="E21" s="3"/>
      <c r="F21" s="3">
        <v>2</v>
      </c>
      <c r="G21" s="3" t="s">
        <v>32</v>
      </c>
      <c r="H21" s="4">
        <v>43016</v>
      </c>
      <c r="I21" s="4">
        <v>43174</v>
      </c>
    </row>
    <row r="22" spans="1:9" ht="28.8" x14ac:dyDescent="0.25">
      <c r="A22" s="3">
        <v>21</v>
      </c>
      <c r="B22" s="1" t="s">
        <v>45</v>
      </c>
      <c r="C22" s="1" t="s">
        <v>46</v>
      </c>
      <c r="D22" s="2">
        <v>25</v>
      </c>
      <c r="E22" s="3"/>
      <c r="F22" s="3">
        <v>1</v>
      </c>
      <c r="G22" s="3" t="s">
        <v>15</v>
      </c>
      <c r="H22" s="4">
        <v>43206</v>
      </c>
      <c r="I22" s="4">
        <v>42518</v>
      </c>
    </row>
    <row r="23" spans="1:9" ht="28.8" x14ac:dyDescent="0.25">
      <c r="A23" s="3">
        <v>22</v>
      </c>
      <c r="B23" s="1" t="s">
        <v>47</v>
      </c>
      <c r="C23" s="1" t="s">
        <v>48</v>
      </c>
      <c r="D23" s="2">
        <v>172.2</v>
      </c>
      <c r="E23" s="3"/>
      <c r="F23" s="3">
        <v>1</v>
      </c>
      <c r="G23" s="3" t="s">
        <v>49</v>
      </c>
      <c r="H23" s="4">
        <v>42948</v>
      </c>
      <c r="I23" s="4">
        <v>43357</v>
      </c>
    </row>
    <row r="24" spans="1:9" ht="28.8" x14ac:dyDescent="0.25">
      <c r="A24" s="3">
        <v>23</v>
      </c>
      <c r="B24" s="1" t="s">
        <v>50</v>
      </c>
      <c r="C24" s="1" t="s">
        <v>48</v>
      </c>
      <c r="D24" s="2">
        <v>38.1</v>
      </c>
      <c r="E24" s="3"/>
      <c r="F24" s="3">
        <v>1</v>
      </c>
      <c r="G24" s="3" t="s">
        <v>49</v>
      </c>
      <c r="H24" s="4">
        <v>42948</v>
      </c>
      <c r="I24" s="4">
        <v>43357</v>
      </c>
    </row>
    <row r="25" spans="1:9" ht="28.8" x14ac:dyDescent="0.25">
      <c r="A25" s="3">
        <v>24</v>
      </c>
      <c r="B25" s="1" t="s">
        <v>51</v>
      </c>
      <c r="C25" s="1" t="s">
        <v>48</v>
      </c>
      <c r="D25" s="2">
        <v>31.6</v>
      </c>
      <c r="E25" s="3"/>
      <c r="F25" s="3">
        <v>1</v>
      </c>
      <c r="G25" s="3" t="s">
        <v>49</v>
      </c>
      <c r="H25" s="4">
        <v>42948</v>
      </c>
      <c r="I25" s="4">
        <v>43357</v>
      </c>
    </row>
    <row r="26" spans="1:9" ht="28.8" x14ac:dyDescent="0.25">
      <c r="A26" s="3">
        <v>25</v>
      </c>
      <c r="B26" s="1" t="s">
        <v>52</v>
      </c>
      <c r="C26" s="1" t="s">
        <v>28</v>
      </c>
      <c r="D26" s="2">
        <v>23.8</v>
      </c>
      <c r="E26" s="3"/>
      <c r="F26" s="3">
        <v>2</v>
      </c>
      <c r="G26" s="3" t="s">
        <v>15</v>
      </c>
      <c r="H26" s="4">
        <v>42998</v>
      </c>
      <c r="I26" s="4">
        <v>43357</v>
      </c>
    </row>
    <row r="27" spans="1:9" ht="43.2" x14ac:dyDescent="0.25">
      <c r="A27" s="3">
        <v>26</v>
      </c>
      <c r="B27" s="1" t="s">
        <v>53</v>
      </c>
      <c r="C27" s="1" t="s">
        <v>28</v>
      </c>
      <c r="D27" s="2">
        <v>84.58</v>
      </c>
      <c r="E27" s="3"/>
      <c r="F27" s="3">
        <v>2</v>
      </c>
      <c r="G27" s="3" t="s">
        <v>15</v>
      </c>
      <c r="H27" s="4">
        <v>43016</v>
      </c>
      <c r="I27" s="4">
        <v>43357</v>
      </c>
    </row>
    <row r="28" spans="1:9" ht="22.2" customHeight="1" x14ac:dyDescent="0.25">
      <c r="A28" s="3">
        <v>27</v>
      </c>
      <c r="B28" s="1" t="s">
        <v>54</v>
      </c>
      <c r="C28" s="1" t="s">
        <v>55</v>
      </c>
      <c r="D28" s="2">
        <v>32.1</v>
      </c>
      <c r="E28" s="3"/>
      <c r="F28" s="3">
        <v>2</v>
      </c>
      <c r="G28" s="3" t="s">
        <v>56</v>
      </c>
      <c r="H28" s="4">
        <v>43240</v>
      </c>
      <c r="I28" s="4">
        <v>43409</v>
      </c>
    </row>
    <row r="29" spans="1:9" ht="28.8" x14ac:dyDescent="0.25">
      <c r="A29" s="3">
        <v>28</v>
      </c>
      <c r="B29" s="1" t="s">
        <v>57</v>
      </c>
      <c r="C29" s="1" t="s">
        <v>58</v>
      </c>
      <c r="D29" s="2">
        <v>37.303100000000001</v>
      </c>
      <c r="E29" s="3"/>
      <c r="F29" s="3">
        <v>2</v>
      </c>
      <c r="G29" s="3" t="s">
        <v>56</v>
      </c>
      <c r="H29" s="4">
        <v>43252</v>
      </c>
      <c r="I29" s="4">
        <v>43473</v>
      </c>
    </row>
    <row r="30" spans="1:9" ht="28.8" x14ac:dyDescent="0.25">
      <c r="A30" s="3">
        <v>29</v>
      </c>
      <c r="B30" s="1" t="s">
        <v>59</v>
      </c>
      <c r="C30" s="1" t="s">
        <v>28</v>
      </c>
      <c r="D30" s="2">
        <v>11.749700000000001</v>
      </c>
      <c r="E30" s="3"/>
      <c r="F30" s="3">
        <v>2</v>
      </c>
      <c r="G30" s="3" t="s">
        <v>56</v>
      </c>
      <c r="H30" s="4">
        <v>42767</v>
      </c>
      <c r="I30" s="4">
        <v>43473</v>
      </c>
    </row>
    <row r="31" spans="1:9" ht="28.8" x14ac:dyDescent="0.25">
      <c r="A31" s="3">
        <v>30</v>
      </c>
      <c r="B31" s="1" t="s">
        <v>60</v>
      </c>
      <c r="C31" s="1" t="s">
        <v>28</v>
      </c>
      <c r="D31" s="2">
        <v>7.2911000000000001</v>
      </c>
      <c r="E31" s="3"/>
      <c r="F31" s="3">
        <v>2</v>
      </c>
      <c r="G31" s="3" t="s">
        <v>56</v>
      </c>
      <c r="H31" s="4">
        <v>42767</v>
      </c>
      <c r="I31" s="4">
        <v>43473</v>
      </c>
    </row>
    <row r="32" spans="1:9" ht="28.8" x14ac:dyDescent="0.25">
      <c r="A32" s="3">
        <v>31</v>
      </c>
      <c r="B32" s="1" t="s">
        <v>61</v>
      </c>
      <c r="C32" s="1" t="s">
        <v>28</v>
      </c>
      <c r="D32" s="2">
        <v>12.3081</v>
      </c>
      <c r="E32" s="3"/>
      <c r="F32" s="3">
        <v>2</v>
      </c>
      <c r="G32" s="3" t="s">
        <v>56</v>
      </c>
      <c r="H32" s="4">
        <v>42767</v>
      </c>
      <c r="I32" s="4">
        <v>43473</v>
      </c>
    </row>
    <row r="33" spans="1:9" ht="28.8" x14ac:dyDescent="0.25">
      <c r="A33" s="3">
        <v>32</v>
      </c>
      <c r="B33" s="1" t="s">
        <v>62</v>
      </c>
      <c r="C33" s="1" t="s">
        <v>58</v>
      </c>
      <c r="D33" s="2">
        <v>6.7534000000000001</v>
      </c>
      <c r="E33" s="3"/>
      <c r="F33" s="3">
        <v>2</v>
      </c>
      <c r="G33" s="3" t="s">
        <v>56</v>
      </c>
      <c r="H33" s="4">
        <v>43191</v>
      </c>
      <c r="I33" s="4">
        <v>43473</v>
      </c>
    </row>
    <row r="34" spans="1:9" ht="28.8" x14ac:dyDescent="0.25">
      <c r="A34" s="3">
        <v>33</v>
      </c>
      <c r="B34" s="1" t="s">
        <v>63</v>
      </c>
      <c r="C34" s="1" t="s">
        <v>28</v>
      </c>
      <c r="D34" s="2">
        <v>5.6386000000000003</v>
      </c>
      <c r="E34" s="3"/>
      <c r="F34" s="3">
        <v>2</v>
      </c>
      <c r="G34" s="3" t="s">
        <v>56</v>
      </c>
      <c r="H34" s="4">
        <v>42917</v>
      </c>
      <c r="I34" s="4">
        <v>43473</v>
      </c>
    </row>
    <row r="35" spans="1:9" ht="28.8" x14ac:dyDescent="0.25">
      <c r="A35" s="3">
        <v>34</v>
      </c>
      <c r="B35" s="1" t="s">
        <v>64</v>
      </c>
      <c r="C35" s="1" t="s">
        <v>28</v>
      </c>
      <c r="D35" s="2">
        <v>1.3949</v>
      </c>
      <c r="E35" s="3"/>
      <c r="F35" s="3">
        <v>2</v>
      </c>
      <c r="G35" s="3" t="s">
        <v>56</v>
      </c>
      <c r="H35" s="4">
        <v>42931</v>
      </c>
      <c r="I35" s="4">
        <v>43473</v>
      </c>
    </row>
    <row r="36" spans="1:9" ht="28.8" x14ac:dyDescent="0.25">
      <c r="A36" s="3">
        <v>35</v>
      </c>
      <c r="B36" s="1" t="s">
        <v>65</v>
      </c>
      <c r="C36" s="1" t="s">
        <v>28</v>
      </c>
      <c r="D36" s="2">
        <v>9.7840000000000007</v>
      </c>
      <c r="E36" s="3"/>
      <c r="F36" s="3">
        <v>2</v>
      </c>
      <c r="G36" s="3" t="s">
        <v>56</v>
      </c>
      <c r="H36" s="4">
        <v>43040</v>
      </c>
      <c r="I36" s="4">
        <v>43473</v>
      </c>
    </row>
    <row r="37" spans="1:9" ht="28.8" x14ac:dyDescent="0.25">
      <c r="A37" s="3">
        <v>36</v>
      </c>
      <c r="B37" s="1" t="s">
        <v>66</v>
      </c>
      <c r="C37" s="1" t="s">
        <v>28</v>
      </c>
      <c r="D37" s="2">
        <v>4.1580000000000004</v>
      </c>
      <c r="E37" s="3"/>
      <c r="F37" s="3">
        <v>2</v>
      </c>
      <c r="G37" s="3" t="s">
        <v>56</v>
      </c>
      <c r="H37" s="4">
        <v>43023</v>
      </c>
      <c r="I37" s="4">
        <v>43473</v>
      </c>
    </row>
    <row r="38" spans="1:9" ht="28.8" x14ac:dyDescent="0.25">
      <c r="A38" s="3">
        <v>37</v>
      </c>
      <c r="B38" s="1" t="s">
        <v>67</v>
      </c>
      <c r="C38" s="1" t="s">
        <v>28</v>
      </c>
      <c r="D38" s="2">
        <v>10.1448</v>
      </c>
      <c r="E38" s="3"/>
      <c r="F38" s="3">
        <v>2</v>
      </c>
      <c r="G38" s="3" t="s">
        <v>68</v>
      </c>
      <c r="H38" s="4">
        <v>43191</v>
      </c>
      <c r="I38" s="4">
        <v>43480</v>
      </c>
    </row>
    <row r="39" spans="1:9" ht="28.8" x14ac:dyDescent="0.25">
      <c r="A39" s="3">
        <v>38</v>
      </c>
      <c r="B39" s="1" t="s">
        <v>69</v>
      </c>
      <c r="C39" s="1" t="s">
        <v>28</v>
      </c>
      <c r="D39" s="2">
        <v>11.706799999999999</v>
      </c>
      <c r="E39" s="3"/>
      <c r="F39" s="3">
        <v>2</v>
      </c>
      <c r="G39" s="3" t="s">
        <v>68</v>
      </c>
      <c r="H39" s="4">
        <v>42917</v>
      </c>
      <c r="I39" s="4">
        <v>43480</v>
      </c>
    </row>
    <row r="40" spans="1:9" ht="28.8" x14ac:dyDescent="0.25">
      <c r="A40" s="3">
        <v>39</v>
      </c>
      <c r="B40" s="1" t="s">
        <v>70</v>
      </c>
      <c r="C40" s="1" t="s">
        <v>28</v>
      </c>
      <c r="D40" s="2">
        <v>5.8979999999999997</v>
      </c>
      <c r="E40" s="3"/>
      <c r="F40" s="3">
        <v>2</v>
      </c>
      <c r="G40" s="3" t="s">
        <v>68</v>
      </c>
      <c r="H40" s="4">
        <v>42583</v>
      </c>
      <c r="I40" s="4">
        <v>43480</v>
      </c>
    </row>
    <row r="41" spans="1:9" ht="28.8" x14ac:dyDescent="0.25">
      <c r="A41" s="3">
        <v>40</v>
      </c>
      <c r="B41" s="1" t="s">
        <v>71</v>
      </c>
      <c r="C41" s="1" t="s">
        <v>58</v>
      </c>
      <c r="D41" s="2">
        <v>3.2198000000000002</v>
      </c>
      <c r="E41" s="3"/>
      <c r="F41" s="3">
        <v>2</v>
      </c>
      <c r="G41" s="3" t="s">
        <v>68</v>
      </c>
      <c r="H41" s="4">
        <v>43252</v>
      </c>
      <c r="I41" s="4">
        <v>43480</v>
      </c>
    </row>
    <row r="42" spans="1:9" ht="28.8" x14ac:dyDescent="0.25">
      <c r="A42" s="3">
        <v>41</v>
      </c>
      <c r="B42" s="1" t="s">
        <v>72</v>
      </c>
      <c r="C42" s="1" t="s">
        <v>28</v>
      </c>
      <c r="D42" s="2">
        <v>50</v>
      </c>
      <c r="E42" s="3"/>
      <c r="F42" s="3">
        <v>2</v>
      </c>
      <c r="G42" s="3" t="s">
        <v>68</v>
      </c>
      <c r="H42" s="4">
        <v>42921</v>
      </c>
      <c r="I42" s="4">
        <v>43480</v>
      </c>
    </row>
    <row r="43" spans="1:9" ht="28.8" x14ac:dyDescent="0.25">
      <c r="A43" s="3">
        <v>42</v>
      </c>
      <c r="B43" s="1" t="s">
        <v>73</v>
      </c>
      <c r="C43" s="1" t="s">
        <v>28</v>
      </c>
      <c r="D43" s="2">
        <v>20</v>
      </c>
      <c r="E43" s="3"/>
      <c r="F43" s="3">
        <v>2</v>
      </c>
      <c r="G43" s="3" t="s">
        <v>68</v>
      </c>
      <c r="H43" s="4">
        <v>43174</v>
      </c>
      <c r="I43" s="4">
        <v>43480</v>
      </c>
    </row>
    <row r="44" spans="1:9" ht="28.8" x14ac:dyDescent="0.25">
      <c r="A44" s="3">
        <v>43</v>
      </c>
      <c r="B44" s="1" t="s">
        <v>74</v>
      </c>
      <c r="C44" s="1" t="s">
        <v>28</v>
      </c>
      <c r="D44" s="2">
        <v>13.6683</v>
      </c>
      <c r="E44" s="3"/>
      <c r="F44" s="3">
        <v>2</v>
      </c>
      <c r="G44" s="3" t="s">
        <v>68</v>
      </c>
      <c r="H44" s="4">
        <v>43132</v>
      </c>
      <c r="I44" s="4">
        <v>43480</v>
      </c>
    </row>
    <row r="45" spans="1:9" ht="28.8" x14ac:dyDescent="0.25">
      <c r="A45" s="3">
        <v>44</v>
      </c>
      <c r="B45" s="1" t="s">
        <v>75</v>
      </c>
      <c r="C45" s="1" t="s">
        <v>28</v>
      </c>
      <c r="D45" s="2">
        <v>8.3977000000000004</v>
      </c>
      <c r="E45" s="3"/>
      <c r="F45" s="3">
        <v>2</v>
      </c>
      <c r="G45" s="3" t="s">
        <v>68</v>
      </c>
      <c r="H45" s="4">
        <v>43222</v>
      </c>
      <c r="I45" s="4">
        <v>43480</v>
      </c>
    </row>
    <row r="46" spans="1:9" ht="28.8" x14ac:dyDescent="0.25">
      <c r="A46" s="3">
        <v>45</v>
      </c>
      <c r="B46" s="1" t="s">
        <v>76</v>
      </c>
      <c r="C46" s="1" t="s">
        <v>58</v>
      </c>
      <c r="D46" s="2">
        <v>17.5</v>
      </c>
      <c r="E46" s="3"/>
      <c r="F46" s="3">
        <v>2</v>
      </c>
      <c r="G46" s="3" t="s">
        <v>68</v>
      </c>
      <c r="H46" s="4">
        <v>43317</v>
      </c>
      <c r="I46" s="4">
        <v>43480</v>
      </c>
    </row>
    <row r="47" spans="1:9" ht="28.8" x14ac:dyDescent="0.25">
      <c r="A47" s="3">
        <v>46</v>
      </c>
      <c r="B47" s="1" t="s">
        <v>77</v>
      </c>
      <c r="C47" s="1" t="s">
        <v>28</v>
      </c>
      <c r="D47" s="2">
        <v>26.3</v>
      </c>
      <c r="E47" s="3"/>
      <c r="F47" s="3">
        <v>2</v>
      </c>
      <c r="G47" s="3" t="s">
        <v>68</v>
      </c>
      <c r="H47" s="4">
        <v>43079</v>
      </c>
      <c r="I47" s="4">
        <v>43480</v>
      </c>
    </row>
    <row r="48" spans="1:9" ht="28.8" x14ac:dyDescent="0.25">
      <c r="A48" s="3">
        <v>47</v>
      </c>
      <c r="B48" s="1" t="s">
        <v>78</v>
      </c>
      <c r="C48" s="1" t="s">
        <v>28</v>
      </c>
      <c r="D48" s="2">
        <v>26.3</v>
      </c>
      <c r="E48" s="3"/>
      <c r="F48" s="3">
        <v>2</v>
      </c>
      <c r="G48" s="3" t="s">
        <v>68</v>
      </c>
      <c r="H48" s="4">
        <v>43040</v>
      </c>
      <c r="I48" s="4">
        <v>43480</v>
      </c>
    </row>
    <row r="49" spans="1:9" ht="28.8" x14ac:dyDescent="0.25">
      <c r="A49" s="3">
        <v>48</v>
      </c>
      <c r="B49" s="1" t="s">
        <v>79</v>
      </c>
      <c r="C49" s="1" t="s">
        <v>28</v>
      </c>
      <c r="D49" s="2">
        <v>5.9443000000000001</v>
      </c>
      <c r="E49" s="3"/>
      <c r="F49" s="3">
        <v>2</v>
      </c>
      <c r="G49" s="3" t="s">
        <v>68</v>
      </c>
      <c r="H49" s="4">
        <v>42856</v>
      </c>
      <c r="I49" s="4">
        <v>43480</v>
      </c>
    </row>
    <row r="50" spans="1:9" ht="43.2" x14ac:dyDescent="0.25">
      <c r="A50" s="3">
        <v>49</v>
      </c>
      <c r="B50" s="1" t="s">
        <v>80</v>
      </c>
      <c r="C50" s="1" t="s">
        <v>58</v>
      </c>
      <c r="D50" s="2">
        <v>8.1440000000000001</v>
      </c>
      <c r="E50" s="3"/>
      <c r="F50" s="3">
        <v>2</v>
      </c>
      <c r="G50" s="3" t="s">
        <v>68</v>
      </c>
      <c r="H50" s="4">
        <v>43313</v>
      </c>
      <c r="I50" s="4">
        <v>43480</v>
      </c>
    </row>
    <row r="51" spans="1:9" ht="43.2" x14ac:dyDescent="0.25">
      <c r="A51" s="3">
        <v>50</v>
      </c>
      <c r="B51" s="1" t="s">
        <v>81</v>
      </c>
      <c r="C51" s="1" t="s">
        <v>82</v>
      </c>
      <c r="D51" s="2">
        <v>4</v>
      </c>
      <c r="E51" s="3"/>
      <c r="F51" s="3">
        <v>3</v>
      </c>
      <c r="G51" s="3" t="s">
        <v>83</v>
      </c>
      <c r="H51" s="4">
        <v>43485</v>
      </c>
      <c r="I51" s="4">
        <v>43565</v>
      </c>
    </row>
    <row r="52" spans="1:9" ht="25.8" customHeight="1" x14ac:dyDescent="0.25">
      <c r="A52" s="3">
        <v>51</v>
      </c>
      <c r="B52" s="29" t="s">
        <v>84</v>
      </c>
      <c r="C52" s="1" t="s">
        <v>58</v>
      </c>
      <c r="D52" s="30">
        <v>25</v>
      </c>
      <c r="E52" s="29"/>
      <c r="F52" s="3">
        <v>2</v>
      </c>
      <c r="G52" s="3" t="s">
        <v>85</v>
      </c>
      <c r="H52" s="31">
        <v>43403</v>
      </c>
      <c r="I52" s="4">
        <v>43580</v>
      </c>
    </row>
    <row r="53" spans="1:9" ht="24" x14ac:dyDescent="0.25">
      <c r="A53" s="3">
        <v>52</v>
      </c>
      <c r="B53" s="29" t="s">
        <v>86</v>
      </c>
      <c r="C53" s="1" t="s">
        <v>58</v>
      </c>
      <c r="D53" s="30"/>
      <c r="E53" s="29"/>
      <c r="F53" s="3">
        <v>2</v>
      </c>
      <c r="G53" s="3" t="s">
        <v>85</v>
      </c>
      <c r="H53" s="31">
        <v>42916</v>
      </c>
      <c r="I53" s="4">
        <v>43580</v>
      </c>
    </row>
    <row r="54" spans="1:9" ht="28.2" customHeight="1" x14ac:dyDescent="0.25">
      <c r="A54" s="3">
        <v>53</v>
      </c>
      <c r="B54" s="29" t="s">
        <v>87</v>
      </c>
      <c r="C54" s="1" t="s">
        <v>58</v>
      </c>
      <c r="D54" s="30"/>
      <c r="E54" s="29"/>
      <c r="F54" s="3">
        <v>2</v>
      </c>
      <c r="G54" s="3" t="s">
        <v>85</v>
      </c>
      <c r="H54" s="31">
        <v>42916</v>
      </c>
      <c r="I54" s="4">
        <v>43580</v>
      </c>
    </row>
    <row r="55" spans="1:9" ht="19.2" customHeight="1" x14ac:dyDescent="0.25">
      <c r="A55" s="3">
        <v>54</v>
      </c>
      <c r="B55" s="29" t="s">
        <v>88</v>
      </c>
      <c r="C55" s="1" t="s">
        <v>58</v>
      </c>
      <c r="D55" s="30">
        <v>139</v>
      </c>
      <c r="E55" s="29"/>
      <c r="F55" s="3">
        <v>2</v>
      </c>
      <c r="G55" s="3" t="s">
        <v>68</v>
      </c>
      <c r="H55" s="31">
        <v>42641</v>
      </c>
      <c r="I55" s="4">
        <v>43580</v>
      </c>
    </row>
    <row r="56" spans="1:9" x14ac:dyDescent="0.25">
      <c r="A56" s="3">
        <v>55</v>
      </c>
      <c r="B56" s="1" t="s">
        <v>89</v>
      </c>
      <c r="C56" s="1" t="s">
        <v>58</v>
      </c>
      <c r="D56" s="30">
        <v>9</v>
      </c>
      <c r="E56" s="3"/>
      <c r="F56" s="3">
        <v>3</v>
      </c>
      <c r="G56" s="3" t="s">
        <v>68</v>
      </c>
      <c r="H56" s="4">
        <v>43525</v>
      </c>
      <c r="I56" s="4">
        <v>43802</v>
      </c>
    </row>
    <row r="57" spans="1:9" ht="28.8" x14ac:dyDescent="0.25">
      <c r="A57" s="3">
        <v>56</v>
      </c>
      <c r="B57" s="1" t="s">
        <v>90</v>
      </c>
      <c r="C57" s="1" t="s">
        <v>58</v>
      </c>
      <c r="D57" s="30">
        <v>2.4</v>
      </c>
      <c r="E57" s="3"/>
      <c r="F57" s="3">
        <v>3</v>
      </c>
      <c r="G57" s="3" t="s">
        <v>91</v>
      </c>
      <c r="H57" s="4">
        <v>43511</v>
      </c>
      <c r="I57" s="4">
        <v>43802</v>
      </c>
    </row>
    <row r="58" spans="1:9" ht="28.8" x14ac:dyDescent="0.25">
      <c r="A58" s="3">
        <v>57</v>
      </c>
      <c r="B58" s="1" t="s">
        <v>92</v>
      </c>
      <c r="C58" s="1" t="s">
        <v>58</v>
      </c>
      <c r="D58" s="30">
        <v>2.9174000000000002</v>
      </c>
      <c r="E58" s="3"/>
      <c r="F58" s="3">
        <v>3</v>
      </c>
      <c r="G58" s="3" t="s">
        <v>68</v>
      </c>
      <c r="H58" s="4">
        <v>43631</v>
      </c>
      <c r="I58" s="4">
        <v>43833</v>
      </c>
    </row>
    <row r="59" spans="1:9" x14ac:dyDescent="0.25">
      <c r="A59" s="3">
        <v>58</v>
      </c>
      <c r="B59" s="1" t="s">
        <v>93</v>
      </c>
      <c r="C59" s="1" t="s">
        <v>58</v>
      </c>
      <c r="D59" s="30">
        <v>4.7588999999999997</v>
      </c>
      <c r="E59" s="3"/>
      <c r="F59" s="3">
        <v>3</v>
      </c>
      <c r="G59" s="3" t="s">
        <v>68</v>
      </c>
      <c r="H59" s="4">
        <v>43631</v>
      </c>
      <c r="I59" s="4">
        <v>43833</v>
      </c>
    </row>
    <row r="60" spans="1:9" ht="21" customHeight="1" x14ac:dyDescent="0.25">
      <c r="A60" s="3">
        <v>59</v>
      </c>
      <c r="B60" s="1" t="s">
        <v>94</v>
      </c>
      <c r="C60" s="1" t="s">
        <v>55</v>
      </c>
      <c r="D60" s="30">
        <v>10.98</v>
      </c>
      <c r="E60" s="3"/>
      <c r="F60" s="3">
        <v>2</v>
      </c>
      <c r="G60" s="3" t="s">
        <v>68</v>
      </c>
      <c r="H60" s="4">
        <v>43905</v>
      </c>
      <c r="I60" s="4">
        <v>43920</v>
      </c>
    </row>
    <row r="61" spans="1:9" x14ac:dyDescent="0.25">
      <c r="A61" s="3">
        <v>60</v>
      </c>
      <c r="B61" s="55" t="s">
        <v>617</v>
      </c>
      <c r="C61" s="55" t="s">
        <v>618</v>
      </c>
      <c r="D61" s="30">
        <v>15</v>
      </c>
      <c r="E61" s="3"/>
      <c r="F61" s="3">
        <v>2</v>
      </c>
      <c r="G61" s="3" t="s">
        <v>68</v>
      </c>
      <c r="H61" s="4">
        <v>43913</v>
      </c>
      <c r="I61" s="4">
        <v>43921</v>
      </c>
    </row>
    <row r="62" spans="1:9" x14ac:dyDescent="0.25">
      <c r="A62" s="3">
        <v>61</v>
      </c>
      <c r="B62" s="1" t="s">
        <v>97</v>
      </c>
      <c r="C62" s="1" t="s">
        <v>98</v>
      </c>
      <c r="D62" s="30">
        <v>10</v>
      </c>
      <c r="E62" s="3"/>
      <c r="F62" s="3">
        <v>2</v>
      </c>
      <c r="G62" s="3" t="s">
        <v>15</v>
      </c>
      <c r="H62" s="4">
        <v>43943</v>
      </c>
      <c r="I62" s="4">
        <v>43958</v>
      </c>
    </row>
    <row r="63" spans="1:9" ht="28.8" x14ac:dyDescent="0.25">
      <c r="A63" s="3">
        <v>62</v>
      </c>
      <c r="B63" s="1" t="s">
        <v>99</v>
      </c>
      <c r="C63" s="1" t="s">
        <v>100</v>
      </c>
      <c r="D63" s="30">
        <v>268</v>
      </c>
      <c r="E63" s="3"/>
      <c r="F63" s="3">
        <v>2</v>
      </c>
      <c r="G63" s="3" t="s">
        <v>15</v>
      </c>
      <c r="H63" s="4">
        <v>43841</v>
      </c>
      <c r="I63" s="4">
        <v>43983</v>
      </c>
    </row>
    <row r="64" spans="1:9" x14ac:dyDescent="0.25">
      <c r="A64" s="3">
        <v>63</v>
      </c>
      <c r="B64" s="1" t="s">
        <v>101</v>
      </c>
      <c r="C64" s="1" t="s">
        <v>11</v>
      </c>
      <c r="D64" s="30">
        <v>4.5</v>
      </c>
      <c r="E64" s="3"/>
      <c r="F64" s="3">
        <v>2</v>
      </c>
      <c r="G64" s="3" t="s">
        <v>68</v>
      </c>
      <c r="H64" s="4">
        <v>43969</v>
      </c>
      <c r="I64" s="4">
        <v>44001</v>
      </c>
    </row>
    <row r="65" spans="1:10" x14ac:dyDescent="0.25">
      <c r="A65" s="3">
        <v>64</v>
      </c>
      <c r="B65" s="1" t="s">
        <v>102</v>
      </c>
      <c r="C65" s="1" t="s">
        <v>103</v>
      </c>
      <c r="D65" s="30">
        <v>10</v>
      </c>
      <c r="E65" s="3"/>
      <c r="F65" s="3">
        <v>2</v>
      </c>
      <c r="G65" s="3" t="s">
        <v>15</v>
      </c>
      <c r="H65" s="4">
        <v>44019</v>
      </c>
      <c r="I65" s="4">
        <v>44033</v>
      </c>
    </row>
    <row r="66" spans="1:10" x14ac:dyDescent="0.25">
      <c r="A66" s="3">
        <v>65</v>
      </c>
      <c r="B66" s="1" t="s">
        <v>104</v>
      </c>
      <c r="C66" s="1" t="s">
        <v>105</v>
      </c>
      <c r="D66" s="2"/>
      <c r="E66" s="3"/>
      <c r="F66" s="3">
        <v>2</v>
      </c>
      <c r="G66" s="3" t="s">
        <v>15</v>
      </c>
      <c r="H66" s="4">
        <v>43929</v>
      </c>
      <c r="I66" s="4">
        <v>44043</v>
      </c>
    </row>
    <row r="67" spans="1:10" x14ac:dyDescent="0.25">
      <c r="A67" s="3">
        <v>66</v>
      </c>
      <c r="B67" s="1" t="s">
        <v>106</v>
      </c>
      <c r="C67" s="1" t="s">
        <v>107</v>
      </c>
      <c r="D67" s="2"/>
      <c r="E67" s="3"/>
      <c r="F67" s="3">
        <v>2</v>
      </c>
      <c r="G67" s="3" t="s">
        <v>15</v>
      </c>
      <c r="H67" s="4">
        <v>43933</v>
      </c>
      <c r="I67" s="4">
        <v>44043</v>
      </c>
    </row>
    <row r="68" spans="1:10" x14ac:dyDescent="0.25">
      <c r="A68" s="3">
        <v>67</v>
      </c>
      <c r="B68" s="1" t="s">
        <v>108</v>
      </c>
      <c r="C68" s="1" t="s">
        <v>109</v>
      </c>
      <c r="D68" s="2"/>
      <c r="E68" s="3"/>
      <c r="F68" s="3">
        <v>2</v>
      </c>
      <c r="G68" s="3" t="s">
        <v>15</v>
      </c>
      <c r="H68" s="4">
        <v>44056</v>
      </c>
      <c r="I68" s="4">
        <v>44069</v>
      </c>
    </row>
    <row r="69" spans="1:10" ht="28.8" x14ac:dyDescent="0.25">
      <c r="A69" s="3">
        <v>68</v>
      </c>
      <c r="B69" s="1" t="s">
        <v>110</v>
      </c>
      <c r="C69" s="1" t="s">
        <v>111</v>
      </c>
      <c r="D69" s="2">
        <v>96.3</v>
      </c>
      <c r="E69" s="3"/>
      <c r="F69" s="3">
        <v>2</v>
      </c>
      <c r="G69" s="3" t="s">
        <v>15</v>
      </c>
      <c r="H69" s="4">
        <v>43957</v>
      </c>
      <c r="I69" s="4">
        <v>44081</v>
      </c>
    </row>
    <row r="70" spans="1:10" ht="28.8" x14ac:dyDescent="0.25">
      <c r="A70" s="3">
        <v>69</v>
      </c>
      <c r="B70" s="1" t="s">
        <v>112</v>
      </c>
      <c r="C70" s="1" t="s">
        <v>113</v>
      </c>
      <c r="D70" s="2">
        <v>33</v>
      </c>
      <c r="E70" s="3"/>
      <c r="F70" s="3">
        <v>2</v>
      </c>
      <c r="G70" s="3" t="s">
        <v>15</v>
      </c>
      <c r="H70" s="4">
        <v>44173</v>
      </c>
      <c r="I70" s="4">
        <v>44186</v>
      </c>
    </row>
    <row r="71" spans="1:10" ht="28.8" x14ac:dyDescent="0.25">
      <c r="A71" s="3">
        <v>70</v>
      </c>
      <c r="B71" s="1" t="s">
        <v>114</v>
      </c>
      <c r="C71" s="1" t="s">
        <v>115</v>
      </c>
      <c r="D71" s="2">
        <v>107.2</v>
      </c>
      <c r="E71" s="3"/>
      <c r="F71" s="3">
        <v>2</v>
      </c>
      <c r="G71" s="3" t="s">
        <v>15</v>
      </c>
      <c r="H71" s="4">
        <v>43831</v>
      </c>
      <c r="I71" s="4">
        <v>44193</v>
      </c>
      <c r="J71" s="27" t="s">
        <v>116</v>
      </c>
    </row>
    <row r="72" spans="1:10" ht="43.2" x14ac:dyDescent="0.25">
      <c r="A72" s="3">
        <v>71</v>
      </c>
      <c r="B72" s="1" t="s">
        <v>117</v>
      </c>
      <c r="C72" s="1" t="s">
        <v>115</v>
      </c>
      <c r="D72" s="2"/>
      <c r="E72" s="3"/>
      <c r="F72" s="3">
        <v>2</v>
      </c>
      <c r="G72" s="3" t="s">
        <v>15</v>
      </c>
      <c r="H72" s="4">
        <v>43891</v>
      </c>
      <c r="I72" s="4">
        <v>44193</v>
      </c>
      <c r="J72" s="27" t="s">
        <v>116</v>
      </c>
    </row>
    <row r="73" spans="1:10" ht="28.8" x14ac:dyDescent="0.25">
      <c r="A73" s="3">
        <v>72</v>
      </c>
      <c r="B73" s="1" t="s">
        <v>118</v>
      </c>
      <c r="C73" s="1" t="s">
        <v>58</v>
      </c>
      <c r="D73" s="2">
        <v>65</v>
      </c>
      <c r="E73" s="3"/>
      <c r="F73" s="3">
        <v>2</v>
      </c>
      <c r="G73" s="3" t="s">
        <v>91</v>
      </c>
      <c r="H73" s="4">
        <v>43739</v>
      </c>
      <c r="I73" s="4">
        <v>44193</v>
      </c>
    </row>
    <row r="74" spans="1:10" ht="28.8" x14ac:dyDescent="0.25">
      <c r="A74" s="3">
        <v>73</v>
      </c>
      <c r="B74" s="1" t="s">
        <v>119</v>
      </c>
      <c r="C74" s="1" t="s">
        <v>58</v>
      </c>
      <c r="D74" s="2">
        <v>50</v>
      </c>
      <c r="E74" s="3"/>
      <c r="F74" s="3">
        <v>2</v>
      </c>
      <c r="G74" s="3" t="s">
        <v>91</v>
      </c>
      <c r="H74" s="4">
        <v>43739</v>
      </c>
      <c r="I74" s="4">
        <v>44193</v>
      </c>
    </row>
    <row r="75" spans="1:10" ht="28.8" x14ac:dyDescent="0.25">
      <c r="A75" s="3">
        <v>74</v>
      </c>
      <c r="B75" s="1" t="s">
        <v>120</v>
      </c>
      <c r="C75" s="1" t="s">
        <v>58</v>
      </c>
      <c r="D75" s="2">
        <v>122</v>
      </c>
      <c r="E75" s="3"/>
      <c r="F75" s="3">
        <v>2</v>
      </c>
      <c r="G75" s="3" t="s">
        <v>91</v>
      </c>
      <c r="H75" s="4">
        <v>43983</v>
      </c>
      <c r="I75" s="4">
        <v>44193</v>
      </c>
    </row>
    <row r="76" spans="1:10" ht="43.2" x14ac:dyDescent="0.25">
      <c r="A76" s="3">
        <v>75</v>
      </c>
      <c r="B76" s="1" t="s">
        <v>121</v>
      </c>
      <c r="C76" s="1" t="s">
        <v>58</v>
      </c>
      <c r="D76" s="2">
        <v>4.41</v>
      </c>
      <c r="E76" s="3"/>
      <c r="F76" s="3">
        <v>2</v>
      </c>
      <c r="G76" s="3" t="s">
        <v>91</v>
      </c>
      <c r="H76" s="4">
        <v>43922</v>
      </c>
      <c r="I76" s="4">
        <v>44193</v>
      </c>
    </row>
    <row r="77" spans="1:10" ht="28.8" x14ac:dyDescent="0.25">
      <c r="A77" s="3">
        <v>76</v>
      </c>
      <c r="B77" s="1" t="s">
        <v>122</v>
      </c>
      <c r="C77" s="1" t="s">
        <v>123</v>
      </c>
      <c r="D77" s="2">
        <v>80</v>
      </c>
      <c r="E77" s="3"/>
      <c r="F77" s="3">
        <v>2</v>
      </c>
      <c r="G77" s="3" t="s">
        <v>124</v>
      </c>
      <c r="H77" s="4">
        <v>44166</v>
      </c>
      <c r="I77" s="31">
        <v>44223</v>
      </c>
    </row>
    <row r="78" spans="1:10" ht="24" x14ac:dyDescent="0.25">
      <c r="A78" s="3">
        <v>77</v>
      </c>
      <c r="B78" s="29" t="s">
        <v>125</v>
      </c>
      <c r="C78" s="1" t="s">
        <v>58</v>
      </c>
      <c r="D78" s="30">
        <v>30.4</v>
      </c>
      <c r="E78" s="3"/>
      <c r="F78" s="3">
        <v>2</v>
      </c>
      <c r="G78" s="3" t="s">
        <v>126</v>
      </c>
      <c r="H78" s="31">
        <v>43617</v>
      </c>
      <c r="I78" s="31">
        <v>44223</v>
      </c>
    </row>
    <row r="79" spans="1:10" ht="24" x14ac:dyDescent="0.25">
      <c r="A79" s="3">
        <v>78</v>
      </c>
      <c r="B79" s="29" t="s">
        <v>127</v>
      </c>
      <c r="C79" s="1" t="s">
        <v>58</v>
      </c>
      <c r="D79" s="30">
        <v>30.4</v>
      </c>
      <c r="E79" s="3"/>
      <c r="F79" s="3">
        <v>2</v>
      </c>
      <c r="G79" s="3" t="s">
        <v>126</v>
      </c>
      <c r="H79" s="31">
        <v>43497</v>
      </c>
      <c r="I79" s="31">
        <v>44223</v>
      </c>
    </row>
    <row r="80" spans="1:10" x14ac:dyDescent="0.25">
      <c r="A80" s="3">
        <v>79</v>
      </c>
      <c r="B80" s="29" t="s">
        <v>128</v>
      </c>
      <c r="C80" s="1" t="s">
        <v>58</v>
      </c>
      <c r="D80" s="30">
        <v>30.4</v>
      </c>
      <c r="E80" s="3"/>
      <c r="F80" s="3">
        <v>2</v>
      </c>
      <c r="G80" s="3" t="s">
        <v>126</v>
      </c>
      <c r="H80" s="31">
        <v>43497</v>
      </c>
      <c r="I80" s="31">
        <v>44223</v>
      </c>
    </row>
    <row r="81" spans="1:9" ht="24" x14ac:dyDescent="0.25">
      <c r="A81" s="3">
        <v>80</v>
      </c>
      <c r="B81" s="29" t="s">
        <v>129</v>
      </c>
      <c r="C81" s="1" t="s">
        <v>58</v>
      </c>
      <c r="D81" s="30">
        <v>33.6</v>
      </c>
      <c r="E81" s="3"/>
      <c r="F81" s="3">
        <v>2</v>
      </c>
      <c r="G81" s="3" t="s">
        <v>126</v>
      </c>
      <c r="H81" s="31">
        <v>43313</v>
      </c>
      <c r="I81" s="31">
        <v>44223</v>
      </c>
    </row>
    <row r="82" spans="1:9" ht="24" x14ac:dyDescent="0.25">
      <c r="A82" s="3">
        <v>81</v>
      </c>
      <c r="B82" s="29" t="s">
        <v>130</v>
      </c>
      <c r="C82" s="1" t="s">
        <v>58</v>
      </c>
      <c r="D82" s="30">
        <v>46.4</v>
      </c>
      <c r="E82" s="3"/>
      <c r="F82" s="3">
        <v>2</v>
      </c>
      <c r="G82" s="3" t="s">
        <v>126</v>
      </c>
      <c r="H82" s="31">
        <v>43647</v>
      </c>
      <c r="I82" s="31">
        <v>44223</v>
      </c>
    </row>
    <row r="83" spans="1:9" ht="36" x14ac:dyDescent="0.25">
      <c r="A83" s="3">
        <v>82</v>
      </c>
      <c r="B83" s="29" t="s">
        <v>131</v>
      </c>
      <c r="C83" s="1" t="s">
        <v>58</v>
      </c>
      <c r="D83" s="30">
        <v>39.200000000000003</v>
      </c>
      <c r="E83" s="3"/>
      <c r="F83" s="3">
        <v>2</v>
      </c>
      <c r="G83" s="3" t="s">
        <v>126</v>
      </c>
      <c r="H83" s="31">
        <v>43678</v>
      </c>
      <c r="I83" s="31">
        <v>44223</v>
      </c>
    </row>
    <row r="84" spans="1:9" x14ac:dyDescent="0.25">
      <c r="A84" s="3">
        <v>83</v>
      </c>
      <c r="B84" s="29" t="s">
        <v>132</v>
      </c>
      <c r="C84" s="1" t="s">
        <v>58</v>
      </c>
      <c r="D84" s="30">
        <v>15.6</v>
      </c>
      <c r="E84" s="3"/>
      <c r="F84" s="3">
        <v>2</v>
      </c>
      <c r="G84" s="3" t="s">
        <v>126</v>
      </c>
      <c r="H84" s="31">
        <v>43800</v>
      </c>
      <c r="I84" s="31">
        <v>44223</v>
      </c>
    </row>
    <row r="85" spans="1:9" ht="48" x14ac:dyDescent="0.25">
      <c r="A85" s="3">
        <v>84</v>
      </c>
      <c r="B85" s="29" t="s">
        <v>133</v>
      </c>
      <c r="C85" s="1" t="s">
        <v>58</v>
      </c>
      <c r="D85" s="30">
        <v>15.6</v>
      </c>
      <c r="E85" s="3"/>
      <c r="F85" s="3">
        <v>2</v>
      </c>
      <c r="G85" s="3" t="s">
        <v>126</v>
      </c>
      <c r="H85" s="31">
        <v>43678</v>
      </c>
      <c r="I85" s="31">
        <v>44223</v>
      </c>
    </row>
    <row r="86" spans="1:9" ht="24" x14ac:dyDescent="0.25">
      <c r="A86" s="3">
        <v>85</v>
      </c>
      <c r="B86" s="29" t="s">
        <v>134</v>
      </c>
      <c r="C86" s="1" t="s">
        <v>58</v>
      </c>
      <c r="D86" s="30">
        <v>200</v>
      </c>
      <c r="E86" s="3"/>
      <c r="F86" s="3">
        <v>2</v>
      </c>
      <c r="G86" s="3" t="s">
        <v>126</v>
      </c>
      <c r="H86" s="31">
        <v>43647</v>
      </c>
      <c r="I86" s="31">
        <v>44223</v>
      </c>
    </row>
    <row r="87" spans="1:9" ht="24" x14ac:dyDescent="0.25">
      <c r="A87" s="3">
        <v>86</v>
      </c>
      <c r="B87" s="29" t="s">
        <v>135</v>
      </c>
      <c r="C87" s="1" t="s">
        <v>58</v>
      </c>
      <c r="D87" s="30">
        <v>180</v>
      </c>
      <c r="E87" s="3"/>
      <c r="F87" s="3">
        <v>2</v>
      </c>
      <c r="G87" s="3" t="s">
        <v>126</v>
      </c>
      <c r="H87" s="31">
        <v>43497</v>
      </c>
      <c r="I87" s="31">
        <v>44223</v>
      </c>
    </row>
    <row r="88" spans="1:9" ht="36" x14ac:dyDescent="0.25">
      <c r="A88" s="3">
        <v>87</v>
      </c>
      <c r="B88" s="29" t="s">
        <v>136</v>
      </c>
      <c r="C88" s="1" t="s">
        <v>58</v>
      </c>
      <c r="D88" s="30">
        <v>150</v>
      </c>
      <c r="E88" s="3"/>
      <c r="F88" s="3">
        <v>2</v>
      </c>
      <c r="G88" s="3" t="s">
        <v>126</v>
      </c>
      <c r="H88" s="31">
        <v>42856</v>
      </c>
      <c r="I88" s="31">
        <v>44223</v>
      </c>
    </row>
    <row r="89" spans="1:9" x14ac:dyDescent="0.25">
      <c r="A89" s="3">
        <v>88</v>
      </c>
      <c r="B89" s="29" t="s">
        <v>84</v>
      </c>
      <c r="C89" s="1" t="s">
        <v>58</v>
      </c>
      <c r="D89" s="30">
        <v>25</v>
      </c>
      <c r="E89" s="3"/>
      <c r="F89" s="3">
        <v>1</v>
      </c>
      <c r="G89" s="3" t="s">
        <v>126</v>
      </c>
      <c r="H89" s="31">
        <v>43374</v>
      </c>
      <c r="I89" s="31">
        <v>44223</v>
      </c>
    </row>
    <row r="90" spans="1:9" ht="28.8" x14ac:dyDescent="0.25">
      <c r="A90" s="3">
        <v>89</v>
      </c>
      <c r="B90" s="1" t="s">
        <v>137</v>
      </c>
      <c r="C90" s="1" t="s">
        <v>138</v>
      </c>
      <c r="D90" s="2">
        <v>9.7200000000000006</v>
      </c>
      <c r="E90" s="3"/>
      <c r="F90" s="3">
        <v>3</v>
      </c>
      <c r="G90" s="3" t="s">
        <v>68</v>
      </c>
      <c r="H90" s="4">
        <v>44124</v>
      </c>
      <c r="I90" s="4">
        <v>44234</v>
      </c>
    </row>
    <row r="91" spans="1:9" ht="43.2" x14ac:dyDescent="0.25">
      <c r="A91" s="3">
        <v>90</v>
      </c>
      <c r="B91" s="1" t="s">
        <v>139</v>
      </c>
      <c r="C91" s="1" t="s">
        <v>138</v>
      </c>
      <c r="D91" s="2">
        <v>4.8600000000000003</v>
      </c>
      <c r="E91" s="3"/>
      <c r="F91" s="3">
        <v>3</v>
      </c>
      <c r="G91" s="3" t="s">
        <v>68</v>
      </c>
      <c r="H91" s="4">
        <v>44414</v>
      </c>
      <c r="I91" s="4">
        <v>44445</v>
      </c>
    </row>
    <row r="92" spans="1:9" x14ac:dyDescent="0.25">
      <c r="A92" s="3">
        <v>91</v>
      </c>
      <c r="B92" s="1" t="s">
        <v>140</v>
      </c>
      <c r="C92" s="1" t="s">
        <v>98</v>
      </c>
      <c r="D92" s="2">
        <v>10</v>
      </c>
      <c r="E92" s="3"/>
      <c r="F92" s="3">
        <v>2</v>
      </c>
      <c r="G92" s="3" t="s">
        <v>49</v>
      </c>
      <c r="H92" s="4">
        <v>44378</v>
      </c>
      <c r="I92" s="4">
        <v>44445</v>
      </c>
    </row>
    <row r="93" spans="1:9" ht="28.8" x14ac:dyDescent="0.25">
      <c r="A93" s="3">
        <v>92</v>
      </c>
      <c r="B93" s="1" t="s">
        <v>141</v>
      </c>
      <c r="C93" s="1" t="s">
        <v>142</v>
      </c>
      <c r="D93" s="2">
        <v>9</v>
      </c>
      <c r="E93" s="3"/>
      <c r="F93" s="3">
        <v>2</v>
      </c>
      <c r="G93" s="3" t="s">
        <v>124</v>
      </c>
      <c r="H93" s="4"/>
      <c r="I93" s="4">
        <v>44445</v>
      </c>
    </row>
    <row r="94" spans="1:9" ht="28.8" x14ac:dyDescent="0.25">
      <c r="A94" s="3">
        <v>93</v>
      </c>
      <c r="B94" s="1" t="s">
        <v>143</v>
      </c>
      <c r="C94" s="1" t="s">
        <v>144</v>
      </c>
      <c r="D94" s="2">
        <v>93.61</v>
      </c>
      <c r="E94" s="3"/>
      <c r="F94" s="3">
        <v>1</v>
      </c>
      <c r="G94" s="3" t="s">
        <v>15</v>
      </c>
      <c r="H94" s="4">
        <v>44393</v>
      </c>
      <c r="I94" s="4">
        <v>44480</v>
      </c>
    </row>
    <row r="95" spans="1:9" ht="28.8" x14ac:dyDescent="0.25">
      <c r="A95" s="3">
        <v>94</v>
      </c>
      <c r="B95" s="1" t="s">
        <v>145</v>
      </c>
      <c r="C95" s="1" t="s">
        <v>146</v>
      </c>
      <c r="D95" s="2">
        <v>175</v>
      </c>
      <c r="E95" s="3"/>
      <c r="F95" s="3">
        <v>1</v>
      </c>
      <c r="G95" s="3" t="s">
        <v>147</v>
      </c>
      <c r="H95" s="4">
        <v>43584</v>
      </c>
      <c r="I95" s="4">
        <v>44502</v>
      </c>
    </row>
    <row r="96" spans="1:9" ht="28.8" x14ac:dyDescent="0.25">
      <c r="A96" s="3">
        <v>95</v>
      </c>
      <c r="B96" s="1" t="s">
        <v>148</v>
      </c>
      <c r="C96" s="1" t="s">
        <v>149</v>
      </c>
      <c r="D96" s="2">
        <v>17</v>
      </c>
      <c r="E96" s="3"/>
      <c r="F96" s="3">
        <v>3</v>
      </c>
      <c r="G96" s="3" t="s">
        <v>150</v>
      </c>
      <c r="H96" s="4">
        <v>44223</v>
      </c>
      <c r="I96" s="4">
        <v>44518</v>
      </c>
    </row>
    <row r="97" spans="1:10" ht="23.4" customHeight="1" x14ac:dyDescent="0.25">
      <c r="A97" s="3">
        <v>96</v>
      </c>
      <c r="B97" s="1" t="s">
        <v>151</v>
      </c>
      <c r="C97" s="1" t="s">
        <v>58</v>
      </c>
      <c r="D97" s="2">
        <v>120</v>
      </c>
      <c r="E97" s="3"/>
      <c r="F97" s="3">
        <v>2</v>
      </c>
      <c r="G97" s="3" t="s">
        <v>68</v>
      </c>
      <c r="H97" s="4">
        <v>43459</v>
      </c>
      <c r="I97" s="4">
        <v>44540</v>
      </c>
    </row>
    <row r="98" spans="1:10" ht="27.6" customHeight="1" x14ac:dyDescent="0.25">
      <c r="A98" s="3">
        <v>97</v>
      </c>
      <c r="B98" s="1" t="s">
        <v>152</v>
      </c>
      <c r="C98" s="1" t="s">
        <v>58</v>
      </c>
      <c r="D98" s="2">
        <v>125</v>
      </c>
      <c r="E98" s="3"/>
      <c r="F98" s="3">
        <v>2</v>
      </c>
      <c r="G98" s="3" t="s">
        <v>68</v>
      </c>
      <c r="H98" s="4">
        <v>43457</v>
      </c>
      <c r="I98" s="4">
        <v>44540</v>
      </c>
    </row>
    <row r="99" spans="1:10" x14ac:dyDescent="0.25">
      <c r="A99" s="3">
        <v>98</v>
      </c>
      <c r="B99" s="1" t="s">
        <v>153</v>
      </c>
      <c r="C99" s="1" t="s">
        <v>58</v>
      </c>
      <c r="D99" s="2">
        <v>95</v>
      </c>
      <c r="E99" s="3"/>
      <c r="F99" s="3">
        <v>3</v>
      </c>
      <c r="G99" s="3" t="s">
        <v>68</v>
      </c>
      <c r="H99" s="4">
        <v>43459</v>
      </c>
      <c r="I99" s="4">
        <v>44540</v>
      </c>
    </row>
    <row r="100" spans="1:10" ht="28.8" x14ac:dyDescent="0.25">
      <c r="A100" s="3">
        <v>99</v>
      </c>
      <c r="B100" s="1" t="s">
        <v>154</v>
      </c>
      <c r="C100" s="1" t="s">
        <v>58</v>
      </c>
      <c r="D100" s="2">
        <v>95</v>
      </c>
      <c r="E100" s="3"/>
      <c r="F100" s="3">
        <v>3</v>
      </c>
      <c r="G100" s="3" t="s">
        <v>68</v>
      </c>
      <c r="H100" s="4">
        <v>44211</v>
      </c>
      <c r="I100" s="4">
        <v>44540</v>
      </c>
    </row>
    <row r="101" spans="1:10" ht="28.8" x14ac:dyDescent="0.25">
      <c r="A101" s="3">
        <v>100</v>
      </c>
      <c r="B101" s="1" t="s">
        <v>155</v>
      </c>
      <c r="C101" s="1" t="s">
        <v>156</v>
      </c>
      <c r="D101" s="2">
        <v>37</v>
      </c>
      <c r="E101" s="3"/>
      <c r="F101" s="3">
        <v>2</v>
      </c>
      <c r="G101" s="3" t="s">
        <v>150</v>
      </c>
      <c r="H101" s="4">
        <v>44530</v>
      </c>
      <c r="I101" s="4">
        <v>44553</v>
      </c>
    </row>
    <row r="102" spans="1:10" ht="34.049999999999997" customHeight="1" x14ac:dyDescent="0.25">
      <c r="A102" s="3">
        <v>101</v>
      </c>
      <c r="B102" s="1" t="s">
        <v>157</v>
      </c>
      <c r="C102" s="1" t="s">
        <v>82</v>
      </c>
      <c r="D102" s="2"/>
      <c r="E102" s="3"/>
      <c r="F102" s="3">
        <v>2</v>
      </c>
      <c r="G102" s="3" t="s">
        <v>126</v>
      </c>
      <c r="H102" s="4" t="s">
        <v>158</v>
      </c>
      <c r="I102" s="4">
        <v>44568</v>
      </c>
    </row>
    <row r="103" spans="1:10" ht="27" customHeight="1" x14ac:dyDescent="0.25">
      <c r="A103" s="3">
        <v>102</v>
      </c>
      <c r="B103" s="1" t="s">
        <v>159</v>
      </c>
      <c r="C103" s="1" t="s">
        <v>58</v>
      </c>
      <c r="D103" s="2">
        <v>33</v>
      </c>
      <c r="E103" s="3"/>
      <c r="F103" s="3">
        <v>2</v>
      </c>
      <c r="G103" s="3" t="s">
        <v>68</v>
      </c>
      <c r="H103" s="4">
        <v>43616</v>
      </c>
      <c r="I103" s="4">
        <v>44568</v>
      </c>
    </row>
    <row r="104" spans="1:10" ht="43.2" x14ac:dyDescent="0.25">
      <c r="A104" s="3">
        <v>103</v>
      </c>
      <c r="B104" s="1" t="s">
        <v>160</v>
      </c>
      <c r="C104" s="1" t="s">
        <v>161</v>
      </c>
      <c r="D104" s="2"/>
      <c r="E104" s="3"/>
      <c r="F104" s="3">
        <v>1</v>
      </c>
      <c r="G104" s="3" t="s">
        <v>91</v>
      </c>
      <c r="H104" s="4">
        <v>44565</v>
      </c>
      <c r="I104" s="4">
        <v>44587</v>
      </c>
    </row>
    <row r="105" spans="1:10" ht="28.8" x14ac:dyDescent="0.25">
      <c r="A105" s="3">
        <v>104</v>
      </c>
      <c r="B105" s="1" t="s">
        <v>162</v>
      </c>
      <c r="C105" s="1" t="s">
        <v>163</v>
      </c>
      <c r="D105" s="2">
        <v>8.5</v>
      </c>
      <c r="E105" s="3"/>
      <c r="F105" s="3">
        <v>1</v>
      </c>
      <c r="G105" s="3" t="s">
        <v>15</v>
      </c>
      <c r="H105" s="4">
        <v>42795</v>
      </c>
      <c r="I105" s="4">
        <v>44620</v>
      </c>
    </row>
    <row r="106" spans="1:10" ht="24" x14ac:dyDescent="0.25">
      <c r="A106" s="3">
        <v>105</v>
      </c>
      <c r="B106" s="32" t="s">
        <v>164</v>
      </c>
      <c r="C106" s="1" t="s">
        <v>58</v>
      </c>
      <c r="D106" s="33">
        <v>200</v>
      </c>
      <c r="E106" s="3"/>
      <c r="F106" s="3">
        <v>2</v>
      </c>
      <c r="G106" s="3" t="s">
        <v>83</v>
      </c>
      <c r="H106" s="34">
        <v>44287</v>
      </c>
      <c r="I106" s="38">
        <v>44659</v>
      </c>
    </row>
    <row r="107" spans="1:10" ht="24" x14ac:dyDescent="0.25">
      <c r="A107" s="3">
        <v>106</v>
      </c>
      <c r="B107" s="32" t="s">
        <v>165</v>
      </c>
      <c r="C107" s="1" t="s">
        <v>58</v>
      </c>
      <c r="D107" s="33">
        <v>63</v>
      </c>
      <c r="E107" s="3"/>
      <c r="F107" s="3">
        <v>2</v>
      </c>
      <c r="G107" s="3" t="s">
        <v>83</v>
      </c>
      <c r="H107" s="34">
        <v>44317</v>
      </c>
      <c r="I107" s="39">
        <v>44659</v>
      </c>
    </row>
    <row r="108" spans="1:10" ht="24" x14ac:dyDescent="0.25">
      <c r="A108" s="3">
        <v>107</v>
      </c>
      <c r="B108" s="32" t="s">
        <v>166</v>
      </c>
      <c r="C108" s="1" t="s">
        <v>58</v>
      </c>
      <c r="D108" s="33">
        <v>94.7</v>
      </c>
      <c r="E108" s="3"/>
      <c r="F108" s="3">
        <v>2</v>
      </c>
      <c r="G108" s="3" t="s">
        <v>83</v>
      </c>
      <c r="H108" s="34">
        <v>44348</v>
      </c>
      <c r="I108" s="40">
        <v>44659</v>
      </c>
    </row>
    <row r="109" spans="1:10" x14ac:dyDescent="0.25">
      <c r="A109" s="3">
        <v>108</v>
      </c>
      <c r="B109" s="32" t="s">
        <v>167</v>
      </c>
      <c r="C109" s="1" t="s">
        <v>58</v>
      </c>
      <c r="D109" s="33">
        <v>95</v>
      </c>
      <c r="E109" s="3"/>
      <c r="F109" s="3">
        <v>2</v>
      </c>
      <c r="G109" s="3" t="s">
        <v>91</v>
      </c>
      <c r="H109" s="34">
        <v>43459</v>
      </c>
      <c r="I109" s="41">
        <v>44659</v>
      </c>
    </row>
    <row r="110" spans="1:10" ht="24" x14ac:dyDescent="0.25">
      <c r="A110" s="3">
        <v>109</v>
      </c>
      <c r="B110" s="32" t="s">
        <v>168</v>
      </c>
      <c r="C110" s="1" t="s">
        <v>58</v>
      </c>
      <c r="D110" s="33">
        <v>2.4668999999999999</v>
      </c>
      <c r="E110" s="3"/>
      <c r="F110" s="3">
        <v>2</v>
      </c>
      <c r="G110" s="3" t="s">
        <v>91</v>
      </c>
      <c r="H110" s="34">
        <v>44510</v>
      </c>
      <c r="I110" s="42">
        <v>44659</v>
      </c>
    </row>
    <row r="111" spans="1:10" ht="28.8" x14ac:dyDescent="0.25">
      <c r="A111" s="3">
        <v>110</v>
      </c>
      <c r="B111" s="1" t="s">
        <v>145</v>
      </c>
      <c r="C111" s="1" t="s">
        <v>146</v>
      </c>
      <c r="D111" s="2">
        <v>128</v>
      </c>
      <c r="E111" s="3"/>
      <c r="F111" s="3">
        <v>1</v>
      </c>
      <c r="G111" s="3" t="s">
        <v>147</v>
      </c>
      <c r="H111" s="4">
        <v>44481</v>
      </c>
      <c r="I111" s="43">
        <v>44721</v>
      </c>
    </row>
    <row r="112" spans="1:10" ht="28.8" x14ac:dyDescent="0.25">
      <c r="A112" s="3">
        <v>111</v>
      </c>
      <c r="B112" s="1" t="s">
        <v>169</v>
      </c>
      <c r="C112" s="1" t="s">
        <v>156</v>
      </c>
      <c r="D112" s="2">
        <v>30</v>
      </c>
      <c r="E112" s="3"/>
      <c r="F112" s="3">
        <v>1</v>
      </c>
      <c r="G112" s="3" t="s">
        <v>170</v>
      </c>
      <c r="H112" s="4"/>
      <c r="I112" s="4">
        <v>44757</v>
      </c>
      <c r="J112" s="44" t="s">
        <v>171</v>
      </c>
    </row>
    <row r="113" spans="1:10" ht="43.2" x14ac:dyDescent="0.25">
      <c r="A113" s="3">
        <v>112</v>
      </c>
      <c r="B113" s="1" t="s">
        <v>172</v>
      </c>
      <c r="C113" s="1" t="s">
        <v>58</v>
      </c>
      <c r="D113" s="2">
        <v>89.585999999999999</v>
      </c>
      <c r="E113" s="3"/>
      <c r="F113" s="3">
        <v>2</v>
      </c>
      <c r="G113" s="3" t="s">
        <v>126</v>
      </c>
      <c r="H113" s="4">
        <v>44682</v>
      </c>
      <c r="I113" s="4">
        <v>44762</v>
      </c>
      <c r="J113" s="44" t="s">
        <v>173</v>
      </c>
    </row>
    <row r="114" spans="1:10" x14ac:dyDescent="0.25">
      <c r="A114" s="3">
        <v>113</v>
      </c>
      <c r="B114" s="1" t="s">
        <v>174</v>
      </c>
      <c r="C114" s="1" t="s">
        <v>58</v>
      </c>
      <c r="D114" s="2">
        <v>200</v>
      </c>
      <c r="E114" s="3"/>
      <c r="F114" s="3">
        <v>2</v>
      </c>
      <c r="G114" s="3" t="s">
        <v>29</v>
      </c>
      <c r="H114" s="4">
        <v>42614</v>
      </c>
      <c r="I114" s="4">
        <v>44796</v>
      </c>
      <c r="J114" s="44" t="s">
        <v>173</v>
      </c>
    </row>
    <row r="115" spans="1:10" ht="28.8" x14ac:dyDescent="0.25">
      <c r="A115" s="3">
        <v>114</v>
      </c>
      <c r="B115" s="1" t="s">
        <v>175</v>
      </c>
      <c r="C115" s="1" t="s">
        <v>58</v>
      </c>
      <c r="D115" s="2">
        <v>12.682600000000001</v>
      </c>
      <c r="E115" s="3"/>
      <c r="F115" s="3">
        <v>2</v>
      </c>
      <c r="G115" s="3" t="s">
        <v>29</v>
      </c>
      <c r="H115" s="4">
        <v>43419</v>
      </c>
      <c r="I115" s="4">
        <v>44796</v>
      </c>
      <c r="J115" s="44" t="s">
        <v>173</v>
      </c>
    </row>
    <row r="116" spans="1:10" ht="28.8" x14ac:dyDescent="0.25">
      <c r="A116" s="3">
        <v>115</v>
      </c>
      <c r="B116" s="1" t="s">
        <v>176</v>
      </c>
      <c r="C116" s="1" t="s">
        <v>58</v>
      </c>
      <c r="D116" s="2">
        <v>34.104900000000001</v>
      </c>
      <c r="E116" s="3"/>
      <c r="F116" s="3">
        <v>2</v>
      </c>
      <c r="G116" s="3" t="s">
        <v>29</v>
      </c>
      <c r="H116" s="4">
        <v>43534</v>
      </c>
      <c r="I116" s="4">
        <v>44796</v>
      </c>
      <c r="J116" s="44" t="s">
        <v>173</v>
      </c>
    </row>
    <row r="117" spans="1:10" ht="28.8" x14ac:dyDescent="0.25">
      <c r="A117" s="3">
        <v>116</v>
      </c>
      <c r="B117" s="1" t="s">
        <v>177</v>
      </c>
      <c r="C117" s="1" t="s">
        <v>58</v>
      </c>
      <c r="D117" s="2">
        <v>7.84</v>
      </c>
      <c r="E117" s="3"/>
      <c r="F117" s="3">
        <v>2</v>
      </c>
      <c r="G117" s="3" t="s">
        <v>29</v>
      </c>
      <c r="H117" s="4">
        <v>43709</v>
      </c>
      <c r="I117" s="4">
        <v>44796</v>
      </c>
      <c r="J117" s="44" t="s">
        <v>173</v>
      </c>
    </row>
    <row r="118" spans="1:10" x14ac:dyDescent="0.25">
      <c r="A118" s="3">
        <v>117</v>
      </c>
      <c r="B118" s="1" t="s">
        <v>178</v>
      </c>
      <c r="C118" s="1" t="s">
        <v>58</v>
      </c>
      <c r="D118" s="2">
        <v>100</v>
      </c>
      <c r="E118" s="3"/>
      <c r="F118" s="3">
        <v>2</v>
      </c>
      <c r="G118" s="3" t="s">
        <v>29</v>
      </c>
      <c r="H118" s="4">
        <v>43746</v>
      </c>
      <c r="I118" s="4">
        <v>44796</v>
      </c>
      <c r="J118" s="44" t="s">
        <v>173</v>
      </c>
    </row>
    <row r="119" spans="1:10" x14ac:dyDescent="0.25">
      <c r="A119" s="3">
        <v>118</v>
      </c>
      <c r="B119" s="12" t="s">
        <v>179</v>
      </c>
      <c r="C119" s="12" t="s">
        <v>58</v>
      </c>
      <c r="D119" s="35">
        <v>20</v>
      </c>
      <c r="E119" s="36"/>
      <c r="F119" s="36">
        <v>1</v>
      </c>
      <c r="G119" s="36" t="s">
        <v>126</v>
      </c>
      <c r="H119" s="37">
        <v>43040</v>
      </c>
      <c r="I119" s="4">
        <v>44799</v>
      </c>
      <c r="J119" s="44" t="s">
        <v>173</v>
      </c>
    </row>
    <row r="120" spans="1:10" ht="28.8" x14ac:dyDescent="0.25">
      <c r="A120" s="3">
        <v>119</v>
      </c>
      <c r="B120" s="12" t="s">
        <v>180</v>
      </c>
      <c r="C120" s="12" t="s">
        <v>58</v>
      </c>
      <c r="D120" s="35">
        <v>50</v>
      </c>
      <c r="E120" s="36"/>
      <c r="F120" s="36">
        <v>1</v>
      </c>
      <c r="G120" s="36" t="s">
        <v>126</v>
      </c>
      <c r="H120" s="37">
        <v>43525</v>
      </c>
      <c r="I120" s="4">
        <v>44799</v>
      </c>
      <c r="J120" s="44" t="s">
        <v>173</v>
      </c>
    </row>
    <row r="121" spans="1:10" ht="28.8" x14ac:dyDescent="0.25">
      <c r="A121" s="3">
        <v>120</v>
      </c>
      <c r="B121" s="12" t="s">
        <v>181</v>
      </c>
      <c r="C121" s="12" t="s">
        <v>58</v>
      </c>
      <c r="D121" s="35">
        <v>15.6</v>
      </c>
      <c r="E121" s="36"/>
      <c r="F121" s="36">
        <v>1</v>
      </c>
      <c r="G121" s="36" t="s">
        <v>126</v>
      </c>
      <c r="H121" s="37">
        <v>43586</v>
      </c>
      <c r="I121" s="4">
        <v>44799</v>
      </c>
      <c r="J121" s="44" t="s">
        <v>173</v>
      </c>
    </row>
    <row r="122" spans="1:10" ht="28.8" x14ac:dyDescent="0.25">
      <c r="A122" s="3">
        <v>121</v>
      </c>
      <c r="B122" s="12" t="s">
        <v>182</v>
      </c>
      <c r="C122" s="12" t="s">
        <v>58</v>
      </c>
      <c r="D122" s="35">
        <v>7.84</v>
      </c>
      <c r="E122" s="36"/>
      <c r="F122" s="36">
        <v>1</v>
      </c>
      <c r="G122" s="36" t="s">
        <v>126</v>
      </c>
      <c r="H122" s="37">
        <v>43678</v>
      </c>
      <c r="I122" s="4">
        <v>44799</v>
      </c>
      <c r="J122" s="44" t="s">
        <v>173</v>
      </c>
    </row>
    <row r="123" spans="1:10" ht="28.8" x14ac:dyDescent="0.25">
      <c r="A123" s="3">
        <v>122</v>
      </c>
      <c r="B123" s="12" t="s">
        <v>183</v>
      </c>
      <c r="C123" s="12" t="s">
        <v>58</v>
      </c>
      <c r="D123" s="35">
        <v>15.84</v>
      </c>
      <c r="E123" s="36"/>
      <c r="F123" s="36">
        <v>1</v>
      </c>
      <c r="G123" s="36" t="s">
        <v>126</v>
      </c>
      <c r="H123" s="37">
        <v>43709</v>
      </c>
      <c r="I123" s="4">
        <v>44799</v>
      </c>
      <c r="J123" s="44" t="s">
        <v>173</v>
      </c>
    </row>
    <row r="124" spans="1:10" ht="28.8" x14ac:dyDescent="0.25">
      <c r="A124" s="3">
        <v>123</v>
      </c>
      <c r="B124" s="12" t="s">
        <v>184</v>
      </c>
      <c r="C124" s="12" t="s">
        <v>58</v>
      </c>
      <c r="D124" s="35">
        <v>36</v>
      </c>
      <c r="E124" s="36"/>
      <c r="F124" s="36">
        <v>1</v>
      </c>
      <c r="G124" s="36" t="s">
        <v>126</v>
      </c>
      <c r="H124" s="37">
        <v>43739</v>
      </c>
      <c r="I124" s="4">
        <v>44799</v>
      </c>
      <c r="J124" s="44" t="s">
        <v>173</v>
      </c>
    </row>
    <row r="125" spans="1:10" ht="28.8" x14ac:dyDescent="0.25">
      <c r="A125" s="3">
        <v>124</v>
      </c>
      <c r="B125" s="12" t="s">
        <v>185</v>
      </c>
      <c r="C125" s="12" t="s">
        <v>58</v>
      </c>
      <c r="D125" s="35">
        <v>7.6</v>
      </c>
      <c r="E125" s="36"/>
      <c r="F125" s="36">
        <v>1</v>
      </c>
      <c r="G125" s="36" t="s">
        <v>126</v>
      </c>
      <c r="H125" s="37">
        <v>43952</v>
      </c>
      <c r="I125" s="4">
        <v>44799</v>
      </c>
      <c r="J125" s="44" t="s">
        <v>173</v>
      </c>
    </row>
    <row r="126" spans="1:10" ht="28.8" x14ac:dyDescent="0.25">
      <c r="A126" s="3">
        <v>125</v>
      </c>
      <c r="B126" s="12" t="s">
        <v>186</v>
      </c>
      <c r="C126" s="12" t="s">
        <v>58</v>
      </c>
      <c r="D126" s="35">
        <v>292</v>
      </c>
      <c r="E126" s="36"/>
      <c r="F126" s="36">
        <v>1</v>
      </c>
      <c r="G126" s="36" t="s">
        <v>126</v>
      </c>
      <c r="H126" s="37">
        <v>43983</v>
      </c>
      <c r="I126" s="4">
        <v>44799</v>
      </c>
      <c r="J126" s="44" t="s">
        <v>173</v>
      </c>
    </row>
    <row r="127" spans="1:10" x14ac:dyDescent="0.25">
      <c r="A127" s="3">
        <v>126</v>
      </c>
      <c r="B127" s="12" t="s">
        <v>187</v>
      </c>
      <c r="C127" s="12" t="s">
        <v>58</v>
      </c>
      <c r="D127" s="35">
        <v>192</v>
      </c>
      <c r="E127" s="36"/>
      <c r="F127" s="36">
        <v>1</v>
      </c>
      <c r="G127" s="36" t="s">
        <v>126</v>
      </c>
      <c r="H127" s="37">
        <v>44013</v>
      </c>
      <c r="I127" s="4">
        <v>44799</v>
      </c>
      <c r="J127" s="44" t="s">
        <v>173</v>
      </c>
    </row>
    <row r="128" spans="1:10" ht="43.2" x14ac:dyDescent="0.25">
      <c r="A128" s="3">
        <v>127</v>
      </c>
      <c r="B128" s="12" t="s">
        <v>188</v>
      </c>
      <c r="C128" s="12" t="s">
        <v>58</v>
      </c>
      <c r="D128" s="35">
        <v>7.6</v>
      </c>
      <c r="E128" s="36"/>
      <c r="F128" s="36">
        <v>1</v>
      </c>
      <c r="G128" s="36" t="s">
        <v>126</v>
      </c>
      <c r="H128" s="37">
        <v>44044</v>
      </c>
      <c r="I128" s="4">
        <v>44799</v>
      </c>
      <c r="J128" s="44" t="s">
        <v>173</v>
      </c>
    </row>
    <row r="129" spans="1:10" ht="28.8" x14ac:dyDescent="0.25">
      <c r="A129" s="3">
        <v>128</v>
      </c>
      <c r="B129" s="12" t="s">
        <v>189</v>
      </c>
      <c r="C129" s="12" t="s">
        <v>58</v>
      </c>
      <c r="D129" s="35">
        <v>7.6</v>
      </c>
      <c r="E129" s="36"/>
      <c r="F129" s="36">
        <v>1</v>
      </c>
      <c r="G129" s="36" t="s">
        <v>126</v>
      </c>
      <c r="H129" s="37">
        <v>44075</v>
      </c>
      <c r="I129" s="4">
        <v>44799</v>
      </c>
      <c r="J129" s="44" t="s">
        <v>173</v>
      </c>
    </row>
    <row r="130" spans="1:10" ht="28.8" x14ac:dyDescent="0.25">
      <c r="A130" s="3">
        <v>129</v>
      </c>
      <c r="B130" s="12" t="s">
        <v>190</v>
      </c>
      <c r="C130" s="12" t="s">
        <v>58</v>
      </c>
      <c r="D130" s="35">
        <v>69.999998000000005</v>
      </c>
      <c r="E130" s="36"/>
      <c r="F130" s="36">
        <v>1</v>
      </c>
      <c r="G130" s="36" t="s">
        <v>126</v>
      </c>
      <c r="H130" s="37">
        <v>44105</v>
      </c>
      <c r="I130" s="4">
        <v>44799</v>
      </c>
      <c r="J130" s="44" t="s">
        <v>173</v>
      </c>
    </row>
    <row r="131" spans="1:10" x14ac:dyDescent="0.25">
      <c r="A131" s="3">
        <v>130</v>
      </c>
      <c r="B131" s="12" t="s">
        <v>191</v>
      </c>
      <c r="C131" s="12" t="s">
        <v>58</v>
      </c>
      <c r="D131" s="35">
        <v>20</v>
      </c>
      <c r="E131" s="36"/>
      <c r="F131" s="36">
        <v>1</v>
      </c>
      <c r="G131" s="36" t="s">
        <v>126</v>
      </c>
      <c r="H131" s="37">
        <v>44197</v>
      </c>
      <c r="I131" s="4">
        <v>44799</v>
      </c>
      <c r="J131" s="44" t="s">
        <v>173</v>
      </c>
    </row>
    <row r="132" spans="1:10" ht="28.8" x14ac:dyDescent="0.25">
      <c r="A132" s="3">
        <v>131</v>
      </c>
      <c r="B132" s="12" t="s">
        <v>192</v>
      </c>
      <c r="C132" s="12" t="s">
        <v>58</v>
      </c>
      <c r="D132" s="35">
        <v>144.99999600000001</v>
      </c>
      <c r="E132" s="36"/>
      <c r="F132" s="36">
        <v>1</v>
      </c>
      <c r="G132" s="36" t="s">
        <v>126</v>
      </c>
      <c r="H132" s="37">
        <v>44256</v>
      </c>
      <c r="I132" s="4">
        <v>44799</v>
      </c>
      <c r="J132" s="44" t="s">
        <v>173</v>
      </c>
    </row>
    <row r="133" spans="1:10" x14ac:dyDescent="0.25">
      <c r="A133" s="3">
        <v>132</v>
      </c>
      <c r="B133" s="12" t="s">
        <v>193</v>
      </c>
      <c r="C133" s="12" t="s">
        <v>58</v>
      </c>
      <c r="D133" s="35">
        <v>183.15599399999999</v>
      </c>
      <c r="E133" s="36"/>
      <c r="F133" s="36">
        <v>1</v>
      </c>
      <c r="G133" s="36" t="s">
        <v>126</v>
      </c>
      <c r="H133" s="37">
        <v>44470</v>
      </c>
      <c r="I133" s="4">
        <v>44799</v>
      </c>
      <c r="J133" s="44" t="s">
        <v>173</v>
      </c>
    </row>
    <row r="134" spans="1:10" x14ac:dyDescent="0.25">
      <c r="A134" s="3">
        <v>133</v>
      </c>
      <c r="B134" s="12" t="s">
        <v>194</v>
      </c>
      <c r="C134" s="12" t="s">
        <v>58</v>
      </c>
      <c r="D134" s="35">
        <v>15.84</v>
      </c>
      <c r="E134" s="36"/>
      <c r="F134" s="36">
        <v>1</v>
      </c>
      <c r="G134" s="36" t="s">
        <v>126</v>
      </c>
      <c r="H134" s="37">
        <v>44501</v>
      </c>
      <c r="I134" s="4">
        <v>44799</v>
      </c>
      <c r="J134" s="44" t="s">
        <v>173</v>
      </c>
    </row>
    <row r="135" spans="1:10" ht="28.8" x14ac:dyDescent="0.25">
      <c r="A135" s="3">
        <v>134</v>
      </c>
      <c r="B135" s="12" t="s">
        <v>195</v>
      </c>
      <c r="C135" s="12" t="s">
        <v>58</v>
      </c>
      <c r="D135" s="35">
        <v>15.84</v>
      </c>
      <c r="E135" s="36"/>
      <c r="F135" s="36">
        <v>1</v>
      </c>
      <c r="G135" s="36" t="s">
        <v>126</v>
      </c>
      <c r="H135" s="37">
        <v>44501</v>
      </c>
      <c r="I135" s="4">
        <v>44799</v>
      </c>
      <c r="J135" s="44" t="s">
        <v>173</v>
      </c>
    </row>
    <row r="136" spans="1:10" ht="28.8" x14ac:dyDescent="0.25">
      <c r="A136" s="3">
        <v>135</v>
      </c>
      <c r="B136" s="1" t="s">
        <v>196</v>
      </c>
      <c r="C136" s="1" t="s">
        <v>156</v>
      </c>
      <c r="D136" s="2">
        <v>3</v>
      </c>
      <c r="E136" s="3"/>
      <c r="F136" s="3">
        <v>1</v>
      </c>
      <c r="G136" s="3" t="s">
        <v>150</v>
      </c>
      <c r="H136" s="4">
        <v>44795</v>
      </c>
      <c r="I136" s="4">
        <v>44886</v>
      </c>
      <c r="J136" s="44" t="s">
        <v>171</v>
      </c>
    </row>
    <row r="137" spans="1:10" ht="28.8" x14ac:dyDescent="0.25">
      <c r="A137" s="3">
        <v>136</v>
      </c>
      <c r="B137" s="1" t="s">
        <v>197</v>
      </c>
      <c r="C137" s="1" t="s">
        <v>156</v>
      </c>
      <c r="D137" s="2">
        <v>45</v>
      </c>
      <c r="E137" s="3"/>
      <c r="F137" s="3">
        <v>1</v>
      </c>
      <c r="G137" s="3" t="s">
        <v>150</v>
      </c>
      <c r="H137" s="4">
        <v>44827</v>
      </c>
      <c r="I137" s="4">
        <v>44886</v>
      </c>
      <c r="J137" s="44" t="s">
        <v>171</v>
      </c>
    </row>
    <row r="138" spans="1:10" ht="21" customHeight="1" x14ac:dyDescent="0.25">
      <c r="A138" s="3">
        <v>137</v>
      </c>
      <c r="B138" s="1" t="s">
        <v>198</v>
      </c>
      <c r="C138" s="1" t="s">
        <v>98</v>
      </c>
      <c r="D138" s="2">
        <v>10</v>
      </c>
      <c r="E138" s="3"/>
      <c r="F138" s="3">
        <v>2</v>
      </c>
      <c r="G138" s="3" t="s">
        <v>49</v>
      </c>
      <c r="H138" s="4">
        <v>44743</v>
      </c>
      <c r="I138" s="4">
        <v>44886</v>
      </c>
      <c r="J138" s="44" t="s">
        <v>199</v>
      </c>
    </row>
    <row r="139" spans="1:10" ht="28.8" x14ac:dyDescent="0.25">
      <c r="A139" s="3">
        <v>138</v>
      </c>
      <c r="B139" s="1" t="s">
        <v>200</v>
      </c>
      <c r="C139" s="1" t="s">
        <v>201</v>
      </c>
      <c r="D139" s="2">
        <v>190.3</v>
      </c>
      <c r="E139" s="3"/>
      <c r="F139" s="3">
        <v>4</v>
      </c>
      <c r="G139" s="3" t="s">
        <v>202</v>
      </c>
      <c r="H139" s="4">
        <v>44866</v>
      </c>
      <c r="I139" s="4">
        <v>44900</v>
      </c>
      <c r="J139" s="44" t="s">
        <v>203</v>
      </c>
    </row>
    <row r="140" spans="1:10" ht="28.8" x14ac:dyDescent="0.25">
      <c r="A140" s="3">
        <v>139</v>
      </c>
      <c r="B140" s="1" t="s">
        <v>204</v>
      </c>
      <c r="C140" s="1" t="s">
        <v>100</v>
      </c>
      <c r="D140" s="2">
        <v>56</v>
      </c>
      <c r="E140" s="3"/>
      <c r="F140" s="3">
        <v>1</v>
      </c>
      <c r="G140" s="3" t="s">
        <v>15</v>
      </c>
      <c r="H140" s="4">
        <v>44849</v>
      </c>
      <c r="I140" s="4">
        <v>44902</v>
      </c>
      <c r="J140" s="44" t="s">
        <v>205</v>
      </c>
    </row>
    <row r="141" spans="1:10" ht="28.8" x14ac:dyDescent="0.25">
      <c r="A141" s="3">
        <v>140</v>
      </c>
      <c r="B141" s="1" t="s">
        <v>206</v>
      </c>
      <c r="C141" s="1" t="s">
        <v>207</v>
      </c>
      <c r="D141" s="2">
        <v>88</v>
      </c>
      <c r="E141" s="3"/>
      <c r="F141" s="3">
        <v>2</v>
      </c>
      <c r="G141" s="3" t="s">
        <v>15</v>
      </c>
      <c r="H141" s="4">
        <v>44849</v>
      </c>
      <c r="I141" s="4">
        <v>44929</v>
      </c>
      <c r="J141" s="44" t="s">
        <v>208</v>
      </c>
    </row>
    <row r="142" spans="1:10" ht="28.8" x14ac:dyDescent="0.25">
      <c r="A142" s="3">
        <v>141</v>
      </c>
      <c r="B142" s="1" t="s">
        <v>209</v>
      </c>
      <c r="C142" s="1" t="s">
        <v>210</v>
      </c>
      <c r="D142" s="2">
        <v>248</v>
      </c>
      <c r="E142" s="3"/>
      <c r="F142" s="3">
        <v>2</v>
      </c>
      <c r="G142" s="3" t="s">
        <v>211</v>
      </c>
      <c r="H142" s="4">
        <v>44896</v>
      </c>
      <c r="I142" s="4">
        <v>44930</v>
      </c>
      <c r="J142" s="44" t="s">
        <v>212</v>
      </c>
    </row>
    <row r="143" spans="1:10" ht="36" x14ac:dyDescent="0.25">
      <c r="A143" s="3">
        <v>142</v>
      </c>
      <c r="B143" s="45" t="s">
        <v>213</v>
      </c>
      <c r="C143" s="12" t="s">
        <v>58</v>
      </c>
      <c r="D143" s="46">
        <v>210.88</v>
      </c>
      <c r="E143" s="3"/>
      <c r="F143" s="47">
        <v>1</v>
      </c>
      <c r="G143" s="48" t="s">
        <v>126</v>
      </c>
      <c r="H143" s="49">
        <v>44835</v>
      </c>
      <c r="I143" s="4">
        <v>44930</v>
      </c>
      <c r="J143" s="44" t="s">
        <v>173</v>
      </c>
    </row>
    <row r="144" spans="1:10" ht="36" x14ac:dyDescent="0.25">
      <c r="A144" s="3">
        <v>143</v>
      </c>
      <c r="B144" s="50" t="s">
        <v>214</v>
      </c>
      <c r="C144" s="12" t="s">
        <v>58</v>
      </c>
      <c r="D144" s="46">
        <v>15.04</v>
      </c>
      <c r="E144" s="3"/>
      <c r="F144" s="47">
        <v>1</v>
      </c>
      <c r="G144" s="48" t="s">
        <v>126</v>
      </c>
      <c r="H144" s="49">
        <v>44713</v>
      </c>
      <c r="I144" s="4">
        <v>44930</v>
      </c>
      <c r="J144" s="44" t="s">
        <v>173</v>
      </c>
    </row>
    <row r="145" spans="1:10" ht="24" x14ac:dyDescent="0.25">
      <c r="A145" s="3">
        <v>144</v>
      </c>
      <c r="B145" s="51" t="s">
        <v>215</v>
      </c>
      <c r="C145" s="12" t="s">
        <v>58</v>
      </c>
      <c r="D145" s="46">
        <v>195.2</v>
      </c>
      <c r="E145" s="3"/>
      <c r="F145" s="47">
        <v>1</v>
      </c>
      <c r="G145" s="48" t="s">
        <v>126</v>
      </c>
      <c r="H145" s="49">
        <v>44531</v>
      </c>
      <c r="I145" s="4">
        <v>44930</v>
      </c>
      <c r="J145" s="44" t="s">
        <v>173</v>
      </c>
    </row>
    <row r="146" spans="1:10" ht="28.8" x14ac:dyDescent="0.25">
      <c r="A146" s="3">
        <v>145</v>
      </c>
      <c r="B146" s="1" t="s">
        <v>216</v>
      </c>
      <c r="C146" s="1" t="s">
        <v>217</v>
      </c>
      <c r="D146" s="2">
        <v>30</v>
      </c>
      <c r="E146" s="3"/>
      <c r="F146" s="3">
        <v>2</v>
      </c>
      <c r="G146" s="3" t="s">
        <v>218</v>
      </c>
      <c r="H146" s="4">
        <v>44867</v>
      </c>
      <c r="I146" s="4">
        <v>45027</v>
      </c>
      <c r="J146" s="44" t="s">
        <v>219</v>
      </c>
    </row>
    <row r="147" spans="1:10" ht="28.8" x14ac:dyDescent="0.25">
      <c r="A147" s="3">
        <v>146</v>
      </c>
      <c r="B147" s="1" t="s">
        <v>220</v>
      </c>
      <c r="C147" s="1" t="s">
        <v>221</v>
      </c>
      <c r="D147" s="2">
        <v>30</v>
      </c>
      <c r="E147" s="3"/>
      <c r="F147" s="3">
        <v>2</v>
      </c>
      <c r="G147" s="3" t="s">
        <v>218</v>
      </c>
      <c r="H147" s="4">
        <v>44867</v>
      </c>
      <c r="I147" s="4">
        <v>45027</v>
      </c>
      <c r="J147" s="44" t="s">
        <v>222</v>
      </c>
    </row>
    <row r="148" spans="1:10" ht="28.8" x14ac:dyDescent="0.25">
      <c r="A148" s="3">
        <v>147</v>
      </c>
      <c r="B148" s="1" t="s">
        <v>223</v>
      </c>
      <c r="C148" t="s">
        <v>224</v>
      </c>
      <c r="D148" s="2">
        <v>134</v>
      </c>
      <c r="E148" s="3"/>
      <c r="F148" s="3">
        <v>2</v>
      </c>
      <c r="G148" s="3" t="s">
        <v>147</v>
      </c>
      <c r="H148" s="4">
        <v>44904</v>
      </c>
      <c r="I148" s="4">
        <v>45044</v>
      </c>
      <c r="J148" s="44" t="s">
        <v>225</v>
      </c>
    </row>
    <row r="149" spans="1:10" x14ac:dyDescent="0.25">
      <c r="A149" s="3">
        <v>148</v>
      </c>
      <c r="B149" s="1" t="s">
        <v>226</v>
      </c>
      <c r="C149" s="1" t="s">
        <v>123</v>
      </c>
      <c r="D149" s="2">
        <v>4.8</v>
      </c>
      <c r="E149" s="3"/>
      <c r="F149" s="3">
        <v>2</v>
      </c>
      <c r="G149" s="3" t="s">
        <v>227</v>
      </c>
      <c r="H149" s="4">
        <v>44958</v>
      </c>
      <c r="I149" s="4">
        <v>45098</v>
      </c>
      <c r="J149" s="44" t="s">
        <v>228</v>
      </c>
    </row>
    <row r="150" spans="1:10" x14ac:dyDescent="0.25">
      <c r="A150" s="3">
        <v>149</v>
      </c>
      <c r="B150" s="1" t="s">
        <v>229</v>
      </c>
      <c r="C150" s="1" t="s">
        <v>230</v>
      </c>
      <c r="D150" s="2">
        <v>0.8</v>
      </c>
      <c r="E150" s="3"/>
      <c r="F150" s="3">
        <v>2</v>
      </c>
      <c r="G150" s="3" t="s">
        <v>49</v>
      </c>
      <c r="H150" s="4">
        <v>45098</v>
      </c>
      <c r="I150" s="4">
        <v>45102</v>
      </c>
      <c r="J150" s="44" t="s">
        <v>231</v>
      </c>
    </row>
    <row r="151" spans="1:10" ht="28.8" x14ac:dyDescent="0.25">
      <c r="A151" s="3">
        <v>150</v>
      </c>
      <c r="B151" s="1" t="s">
        <v>232</v>
      </c>
      <c r="C151" s="1" t="s">
        <v>233</v>
      </c>
      <c r="D151" s="2">
        <v>3.9</v>
      </c>
      <c r="E151" s="3"/>
      <c r="F151" s="3">
        <v>1</v>
      </c>
      <c r="G151" s="3" t="s">
        <v>49</v>
      </c>
      <c r="H151" s="4">
        <v>45083</v>
      </c>
      <c r="I151" s="4">
        <v>45104</v>
      </c>
      <c r="J151" s="44" t="s">
        <v>234</v>
      </c>
    </row>
    <row r="152" spans="1:10" ht="28.8" x14ac:dyDescent="0.25">
      <c r="A152" s="3">
        <v>151</v>
      </c>
      <c r="B152" s="1" t="s">
        <v>235</v>
      </c>
      <c r="C152" s="1" t="s">
        <v>236</v>
      </c>
      <c r="D152" s="2">
        <v>7</v>
      </c>
      <c r="E152" s="3"/>
      <c r="F152" s="3">
        <v>1</v>
      </c>
      <c r="G152" s="3" t="s">
        <v>150</v>
      </c>
      <c r="H152" s="4">
        <v>45077</v>
      </c>
      <c r="I152" s="4">
        <v>45121</v>
      </c>
      <c r="J152" s="44" t="s">
        <v>237</v>
      </c>
    </row>
    <row r="153" spans="1:10" ht="28.8" x14ac:dyDescent="0.25">
      <c r="A153" s="3">
        <v>152</v>
      </c>
      <c r="B153" s="1" t="s">
        <v>238</v>
      </c>
      <c r="C153" s="1" t="s">
        <v>156</v>
      </c>
      <c r="D153" s="2">
        <v>34.799999999999997</v>
      </c>
      <c r="E153" s="3"/>
      <c r="F153" s="3">
        <v>1</v>
      </c>
      <c r="G153" s="3" t="s">
        <v>150</v>
      </c>
      <c r="H153" s="4">
        <v>45012</v>
      </c>
      <c r="I153" s="4">
        <v>45121</v>
      </c>
      <c r="J153" s="44" t="s">
        <v>171</v>
      </c>
    </row>
    <row r="154" spans="1:10" ht="28.8" x14ac:dyDescent="0.25">
      <c r="A154" s="3">
        <v>153</v>
      </c>
      <c r="B154" s="1" t="s">
        <v>239</v>
      </c>
      <c r="C154" s="1" t="s">
        <v>156</v>
      </c>
      <c r="D154" s="2">
        <v>30</v>
      </c>
      <c r="E154" s="3"/>
      <c r="F154" s="3">
        <v>1</v>
      </c>
      <c r="G154" s="3" t="s">
        <v>150</v>
      </c>
      <c r="H154" s="4">
        <v>45090</v>
      </c>
      <c r="I154" s="4">
        <v>45121</v>
      </c>
      <c r="J154" s="44" t="s">
        <v>171</v>
      </c>
    </row>
    <row r="155" spans="1:10" ht="28.8" x14ac:dyDescent="0.25">
      <c r="A155" s="3">
        <v>154</v>
      </c>
      <c r="B155" s="1" t="s">
        <v>240</v>
      </c>
      <c r="C155" s="1" t="s">
        <v>241</v>
      </c>
      <c r="D155" s="2"/>
      <c r="E155" s="3"/>
      <c r="F155" s="3">
        <v>2</v>
      </c>
      <c r="G155" s="3" t="s">
        <v>202</v>
      </c>
      <c r="H155" s="4">
        <v>45108</v>
      </c>
      <c r="I155" s="4">
        <v>45121</v>
      </c>
      <c r="J155" s="44" t="s">
        <v>242</v>
      </c>
    </row>
    <row r="156" spans="1:10" x14ac:dyDescent="0.25">
      <c r="A156" s="3">
        <v>155</v>
      </c>
      <c r="B156" s="1" t="s">
        <v>243</v>
      </c>
      <c r="C156" s="1" t="s">
        <v>98</v>
      </c>
      <c r="D156" s="2">
        <v>10</v>
      </c>
      <c r="E156" s="3"/>
      <c r="F156" s="3">
        <v>2</v>
      </c>
      <c r="G156" s="3" t="s">
        <v>49</v>
      </c>
      <c r="H156" s="4">
        <v>45108</v>
      </c>
      <c r="I156" s="4">
        <v>45159</v>
      </c>
      <c r="J156" s="44" t="s">
        <v>199</v>
      </c>
    </row>
    <row r="157" spans="1:10" x14ac:dyDescent="0.25">
      <c r="A157" s="3">
        <v>156</v>
      </c>
      <c r="B157" s="1" t="s">
        <v>244</v>
      </c>
      <c r="C157" s="1" t="s">
        <v>115</v>
      </c>
      <c r="D157" s="2">
        <v>48</v>
      </c>
      <c r="E157" s="3"/>
      <c r="F157" s="3">
        <v>2</v>
      </c>
      <c r="G157" s="3" t="s">
        <v>202</v>
      </c>
      <c r="H157" s="4">
        <v>44166</v>
      </c>
      <c r="I157" s="4">
        <v>45218</v>
      </c>
      <c r="J157" s="44" t="s">
        <v>116</v>
      </c>
    </row>
    <row r="158" spans="1:10" x14ac:dyDescent="0.25">
      <c r="A158" s="3">
        <v>157</v>
      </c>
      <c r="B158" s="1" t="s">
        <v>245</v>
      </c>
      <c r="C158" s="1" t="s">
        <v>115</v>
      </c>
      <c r="D158" s="2"/>
      <c r="E158" s="3"/>
      <c r="F158" s="3">
        <v>2</v>
      </c>
      <c r="G158" s="3" t="s">
        <v>202</v>
      </c>
      <c r="H158" s="4">
        <v>45108</v>
      </c>
      <c r="I158" s="4">
        <v>45218</v>
      </c>
      <c r="J158" s="44" t="s">
        <v>116</v>
      </c>
    </row>
    <row r="159" spans="1:10" ht="24" x14ac:dyDescent="0.25">
      <c r="A159" s="3">
        <v>158</v>
      </c>
      <c r="B159" s="52" t="s">
        <v>246</v>
      </c>
      <c r="C159" s="12" t="s">
        <v>58</v>
      </c>
      <c r="D159" s="53">
        <v>69.367000000000004</v>
      </c>
      <c r="E159" s="3"/>
      <c r="F159" s="3">
        <v>3</v>
      </c>
      <c r="G159" s="53" t="s">
        <v>247</v>
      </c>
      <c r="H159" s="54">
        <v>45173</v>
      </c>
      <c r="I159" s="54">
        <v>45442</v>
      </c>
      <c r="J159" s="44" t="s">
        <v>173</v>
      </c>
    </row>
    <row r="160" spans="1:10" ht="24" x14ac:dyDescent="0.25">
      <c r="A160" s="3">
        <v>159</v>
      </c>
      <c r="B160" s="52" t="s">
        <v>248</v>
      </c>
      <c r="C160" s="12" t="s">
        <v>58</v>
      </c>
      <c r="D160" s="53">
        <v>147.67269999999999</v>
      </c>
      <c r="E160" s="3"/>
      <c r="F160" s="3">
        <v>3</v>
      </c>
      <c r="G160" s="53" t="s">
        <v>247</v>
      </c>
      <c r="H160" s="54">
        <v>45143</v>
      </c>
      <c r="I160" s="54">
        <v>45442</v>
      </c>
      <c r="J160" s="44" t="s">
        <v>173</v>
      </c>
    </row>
    <row r="161" spans="1:10" ht="24" x14ac:dyDescent="0.25">
      <c r="A161" s="3">
        <v>160</v>
      </c>
      <c r="B161" s="52" t="s">
        <v>249</v>
      </c>
      <c r="C161" s="12" t="s">
        <v>58</v>
      </c>
      <c r="D161" s="53">
        <v>194.71209999999999</v>
      </c>
      <c r="E161" s="3"/>
      <c r="F161" s="3">
        <v>3</v>
      </c>
      <c r="G161" s="53" t="s">
        <v>247</v>
      </c>
      <c r="H161" s="54">
        <v>45143</v>
      </c>
      <c r="I161" s="54">
        <v>45442</v>
      </c>
      <c r="J161" s="44" t="s">
        <v>173</v>
      </c>
    </row>
    <row r="162" spans="1:10" ht="24" x14ac:dyDescent="0.25">
      <c r="A162" s="3">
        <v>161</v>
      </c>
      <c r="B162" s="52" t="s">
        <v>250</v>
      </c>
      <c r="C162" s="12" t="s">
        <v>58</v>
      </c>
      <c r="D162" s="53">
        <v>284.17759999999998</v>
      </c>
      <c r="E162" s="3"/>
      <c r="F162" s="3">
        <v>3</v>
      </c>
      <c r="G162" s="53" t="s">
        <v>247</v>
      </c>
      <c r="H162" s="54">
        <v>45107</v>
      </c>
      <c r="I162" s="54">
        <v>45442</v>
      </c>
      <c r="J162" s="44" t="s">
        <v>173</v>
      </c>
    </row>
    <row r="163" spans="1:10" ht="36" x14ac:dyDescent="0.25">
      <c r="A163" s="3">
        <v>162</v>
      </c>
      <c r="B163" s="52" t="s">
        <v>251</v>
      </c>
      <c r="C163" s="12" t="s">
        <v>58</v>
      </c>
      <c r="D163" s="53">
        <v>129.35480000000001</v>
      </c>
      <c r="E163" s="3"/>
      <c r="F163" s="3">
        <v>3</v>
      </c>
      <c r="G163" s="53" t="s">
        <v>247</v>
      </c>
      <c r="H163" s="54">
        <v>45168</v>
      </c>
      <c r="I163" s="54">
        <v>45442</v>
      </c>
      <c r="J163" s="44" t="s">
        <v>173</v>
      </c>
    </row>
    <row r="164" spans="1:10" ht="24" x14ac:dyDescent="0.25">
      <c r="A164" s="3">
        <v>163</v>
      </c>
      <c r="B164" s="52" t="s">
        <v>252</v>
      </c>
      <c r="C164" s="1" t="s">
        <v>201</v>
      </c>
      <c r="D164" s="2"/>
      <c r="E164" s="3"/>
      <c r="F164" s="3">
        <v>2</v>
      </c>
      <c r="G164" s="3" t="s">
        <v>227</v>
      </c>
      <c r="H164" s="4">
        <v>45308</v>
      </c>
      <c r="I164" s="4">
        <v>45442</v>
      </c>
      <c r="J164" s="44" t="s">
        <v>203</v>
      </c>
    </row>
    <row r="165" spans="1:10" ht="28.8" x14ac:dyDescent="0.25">
      <c r="A165" s="3">
        <v>164</v>
      </c>
      <c r="B165" s="1" t="s">
        <v>253</v>
      </c>
      <c r="C165" s="1" t="s">
        <v>254</v>
      </c>
      <c r="D165" s="2">
        <v>5</v>
      </c>
      <c r="E165" s="3"/>
      <c r="F165" s="3">
        <v>1</v>
      </c>
      <c r="G165" s="3" t="s">
        <v>202</v>
      </c>
      <c r="H165" s="4">
        <v>45412</v>
      </c>
      <c r="I165" s="4">
        <v>45442</v>
      </c>
      <c r="J165" s="44" t="s">
        <v>255</v>
      </c>
    </row>
    <row r="166" spans="1:10" x14ac:dyDescent="0.25">
      <c r="A166" s="3">
        <v>165</v>
      </c>
      <c r="B166" s="1" t="s">
        <v>256</v>
      </c>
      <c r="C166" s="1" t="s">
        <v>230</v>
      </c>
      <c r="D166" s="2">
        <v>0.7</v>
      </c>
      <c r="E166" s="3"/>
      <c r="F166" s="3">
        <v>2</v>
      </c>
      <c r="G166" s="3" t="s">
        <v>49</v>
      </c>
      <c r="H166" s="4">
        <v>45440</v>
      </c>
      <c r="I166" s="4">
        <v>45442</v>
      </c>
      <c r="J166" s="44" t="s">
        <v>203</v>
      </c>
    </row>
    <row r="167" spans="1:10" ht="43.2" x14ac:dyDescent="0.25">
      <c r="A167" s="3">
        <v>166</v>
      </c>
      <c r="B167" s="1" t="s">
        <v>257</v>
      </c>
      <c r="C167" s="1" t="s">
        <v>241</v>
      </c>
      <c r="D167" s="2">
        <v>240</v>
      </c>
      <c r="E167" s="3"/>
      <c r="F167" s="3">
        <v>2</v>
      </c>
      <c r="G167" s="3" t="s">
        <v>202</v>
      </c>
      <c r="H167" s="4">
        <v>45434</v>
      </c>
      <c r="I167" s="4">
        <v>45497</v>
      </c>
      <c r="J167" s="44" t="s">
        <v>242</v>
      </c>
    </row>
    <row r="168" spans="1:10" ht="28.8" x14ac:dyDescent="0.25">
      <c r="A168" s="3">
        <v>167</v>
      </c>
      <c r="B168" s="1" t="s">
        <v>258</v>
      </c>
      <c r="C168" s="1" t="s">
        <v>201</v>
      </c>
      <c r="D168" s="2">
        <v>96</v>
      </c>
      <c r="E168" s="3"/>
      <c r="F168" s="3">
        <v>4</v>
      </c>
      <c r="G168" s="3" t="s">
        <v>202</v>
      </c>
      <c r="H168" s="4">
        <v>45456</v>
      </c>
      <c r="I168" s="4">
        <v>45497</v>
      </c>
      <c r="J168" s="44" t="s">
        <v>203</v>
      </c>
    </row>
    <row r="169" spans="1:10" x14ac:dyDescent="0.25">
      <c r="A169" s="3">
        <v>168</v>
      </c>
      <c r="B169" s="1" t="s">
        <v>259</v>
      </c>
      <c r="C169" s="1" t="s">
        <v>98</v>
      </c>
      <c r="D169" s="2">
        <v>10</v>
      </c>
      <c r="E169" s="3"/>
      <c r="F169" s="3">
        <v>2</v>
      </c>
      <c r="G169" s="3" t="s">
        <v>49</v>
      </c>
      <c r="H169" s="4">
        <v>45474</v>
      </c>
      <c r="I169" s="4">
        <v>45160</v>
      </c>
      <c r="J169" s="44" t="s">
        <v>199</v>
      </c>
    </row>
    <row r="170" spans="1:10" ht="57.6" x14ac:dyDescent="0.25">
      <c r="A170" s="3">
        <v>169</v>
      </c>
      <c r="B170" s="1" t="s">
        <v>260</v>
      </c>
      <c r="C170" s="1" t="s">
        <v>261</v>
      </c>
      <c r="D170" s="2">
        <v>250.86</v>
      </c>
      <c r="E170" s="3"/>
      <c r="F170" s="3">
        <v>1</v>
      </c>
      <c r="G170" s="3" t="s">
        <v>218</v>
      </c>
      <c r="H170" s="4">
        <v>45627</v>
      </c>
      <c r="I170" s="4">
        <v>45679</v>
      </c>
      <c r="J170" s="44" t="s">
        <v>262</v>
      </c>
    </row>
    <row r="171" spans="1:10" ht="28.8" x14ac:dyDescent="0.25">
      <c r="A171" s="3">
        <v>170</v>
      </c>
      <c r="B171" s="1" t="s">
        <v>263</v>
      </c>
      <c r="C171" s="1" t="s">
        <v>264</v>
      </c>
      <c r="D171" s="2">
        <v>118.297416</v>
      </c>
      <c r="E171" s="3"/>
      <c r="F171" s="3">
        <v>2</v>
      </c>
      <c r="G171" s="3" t="s">
        <v>218</v>
      </c>
      <c r="H171" s="4">
        <v>45658</v>
      </c>
      <c r="I171" s="4">
        <v>45699</v>
      </c>
      <c r="J171" s="44" t="s">
        <v>265</v>
      </c>
    </row>
    <row r="172" spans="1:10" ht="28.8" x14ac:dyDescent="0.25">
      <c r="A172" s="3">
        <v>171</v>
      </c>
      <c r="B172" s="1" t="s">
        <v>266</v>
      </c>
      <c r="C172" s="1" t="s">
        <v>230</v>
      </c>
      <c r="D172" s="2">
        <v>3</v>
      </c>
      <c r="E172" s="3"/>
      <c r="F172" s="3">
        <v>1</v>
      </c>
      <c r="G172" s="3" t="s">
        <v>49</v>
      </c>
      <c r="H172" s="4"/>
      <c r="I172" s="4">
        <v>45726</v>
      </c>
      <c r="J172" s="44" t="s">
        <v>203</v>
      </c>
    </row>
    <row r="173" spans="1:10" ht="86.4" x14ac:dyDescent="0.25">
      <c r="A173" s="3">
        <v>172</v>
      </c>
      <c r="B173" s="1" t="s">
        <v>267</v>
      </c>
      <c r="C173" s="1" t="s">
        <v>268</v>
      </c>
      <c r="D173" s="2"/>
      <c r="E173" s="3"/>
      <c r="F173" s="3">
        <v>1</v>
      </c>
      <c r="G173" s="3" t="s">
        <v>29</v>
      </c>
      <c r="H173" s="4">
        <v>45667</v>
      </c>
      <c r="I173" s="4">
        <v>45726</v>
      </c>
      <c r="J173" s="44" t="s">
        <v>269</v>
      </c>
    </row>
    <row r="174" spans="1:10" ht="86.4" x14ac:dyDescent="0.25">
      <c r="A174" s="3">
        <v>173</v>
      </c>
      <c r="B174" s="1" t="s">
        <v>270</v>
      </c>
      <c r="C174" s="1" t="s">
        <v>271</v>
      </c>
      <c r="D174" s="2"/>
      <c r="E174" s="3"/>
      <c r="F174" s="3">
        <v>1</v>
      </c>
      <c r="G174" s="3" t="s">
        <v>29</v>
      </c>
      <c r="H174" s="4">
        <v>45636</v>
      </c>
      <c r="I174" s="4">
        <v>45726</v>
      </c>
      <c r="J174" s="44" t="s">
        <v>272</v>
      </c>
    </row>
    <row r="175" spans="1:10" ht="86.4" x14ac:dyDescent="0.25">
      <c r="A175" s="3">
        <v>174</v>
      </c>
      <c r="B175" s="1" t="s">
        <v>273</v>
      </c>
      <c r="C175" s="1" t="s">
        <v>274</v>
      </c>
      <c r="D175" s="2"/>
      <c r="E175" s="3"/>
      <c r="F175" s="3">
        <v>1</v>
      </c>
      <c r="G175" s="3" t="s">
        <v>29</v>
      </c>
      <c r="H175" s="4">
        <v>45636</v>
      </c>
      <c r="I175" s="4">
        <v>45726</v>
      </c>
      <c r="J175" s="44" t="s">
        <v>275</v>
      </c>
    </row>
    <row r="176" spans="1:10" ht="86.4" x14ac:dyDescent="0.25">
      <c r="A176" s="3">
        <v>175</v>
      </c>
      <c r="B176" s="1" t="s">
        <v>276</v>
      </c>
      <c r="C176" s="1" t="s">
        <v>277</v>
      </c>
      <c r="D176" s="2"/>
      <c r="E176" s="3"/>
      <c r="F176" s="3">
        <v>1</v>
      </c>
      <c r="G176" s="3" t="s">
        <v>29</v>
      </c>
      <c r="H176" s="4">
        <v>45636</v>
      </c>
      <c r="I176" s="4">
        <v>45726</v>
      </c>
      <c r="J176" s="44" t="s">
        <v>278</v>
      </c>
    </row>
    <row r="177" spans="1:10" ht="86.4" x14ac:dyDescent="0.25">
      <c r="A177" s="3">
        <v>176</v>
      </c>
      <c r="B177" s="1" t="s">
        <v>279</v>
      </c>
      <c r="C177" s="1" t="s">
        <v>280</v>
      </c>
      <c r="D177" s="2"/>
      <c r="E177" s="3"/>
      <c r="F177" s="3">
        <v>1</v>
      </c>
      <c r="G177" s="3" t="s">
        <v>29</v>
      </c>
      <c r="H177" s="4">
        <v>45636</v>
      </c>
      <c r="I177" s="4">
        <v>45726</v>
      </c>
      <c r="J177" s="44" t="s">
        <v>281</v>
      </c>
    </row>
    <row r="178" spans="1:10" ht="86.4" x14ac:dyDescent="0.25">
      <c r="A178" s="3">
        <v>177</v>
      </c>
      <c r="B178" s="1" t="s">
        <v>282</v>
      </c>
      <c r="C178" s="1" t="s">
        <v>283</v>
      </c>
      <c r="D178" s="2"/>
      <c r="E178" s="3"/>
      <c r="F178" s="3">
        <v>1</v>
      </c>
      <c r="G178" s="3" t="s">
        <v>29</v>
      </c>
      <c r="H178" s="4">
        <v>45636</v>
      </c>
      <c r="I178" s="4">
        <v>45726</v>
      </c>
      <c r="J178" s="44" t="s">
        <v>284</v>
      </c>
    </row>
    <row r="179" spans="1:10" ht="28.8" x14ac:dyDescent="0.25">
      <c r="A179" s="3">
        <v>178</v>
      </c>
      <c r="B179" s="1" t="s">
        <v>285</v>
      </c>
      <c r="C179" s="1" t="s">
        <v>286</v>
      </c>
      <c r="D179" s="2">
        <v>12.4</v>
      </c>
      <c r="E179" s="3"/>
      <c r="F179" s="3">
        <v>1</v>
      </c>
      <c r="G179" s="3" t="s">
        <v>15</v>
      </c>
      <c r="H179" s="4">
        <v>45581</v>
      </c>
      <c r="I179" s="4">
        <v>45825</v>
      </c>
      <c r="J179" s="44" t="s">
        <v>287</v>
      </c>
    </row>
    <row r="180" spans="1:10" ht="57.6" x14ac:dyDescent="0.25">
      <c r="A180" s="3">
        <v>179</v>
      </c>
      <c r="B180" s="55" t="s">
        <v>626</v>
      </c>
      <c r="C180" s="55" t="s">
        <v>627</v>
      </c>
      <c r="D180" s="2">
        <v>15</v>
      </c>
      <c r="E180" s="3"/>
      <c r="F180" s="3">
        <v>2</v>
      </c>
      <c r="G180" s="56" t="s">
        <v>628</v>
      </c>
      <c r="H180" s="4">
        <v>45219</v>
      </c>
      <c r="I180" s="4">
        <v>45908</v>
      </c>
      <c r="J180" s="44" t="s">
        <v>629</v>
      </c>
    </row>
    <row r="181" spans="1:10" ht="28.8" x14ac:dyDescent="0.25">
      <c r="A181" s="3">
        <v>180</v>
      </c>
      <c r="B181" s="55" t="s">
        <v>638</v>
      </c>
      <c r="C181" s="55" t="s">
        <v>627</v>
      </c>
      <c r="D181" s="2">
        <v>20</v>
      </c>
      <c r="E181" s="3"/>
      <c r="F181" s="3">
        <v>2</v>
      </c>
      <c r="G181" s="56" t="s">
        <v>639</v>
      </c>
      <c r="H181" s="4">
        <v>45940</v>
      </c>
      <c r="I181" s="4">
        <v>45987</v>
      </c>
      <c r="J181" s="44" t="s">
        <v>629</v>
      </c>
    </row>
    <row r="182" spans="1:10" ht="28.8" x14ac:dyDescent="0.25">
      <c r="A182" s="3">
        <v>181</v>
      </c>
      <c r="B182" s="55" t="s">
        <v>640</v>
      </c>
      <c r="C182" s="55" t="s">
        <v>641</v>
      </c>
      <c r="D182" s="2">
        <v>132.45410000000001</v>
      </c>
      <c r="E182" s="3"/>
      <c r="F182" s="3">
        <v>2</v>
      </c>
      <c r="G182" s="56" t="s">
        <v>642</v>
      </c>
      <c r="H182" s="4">
        <v>46000</v>
      </c>
      <c r="I182" s="4">
        <v>46000</v>
      </c>
      <c r="J182" s="44" t="s">
        <v>265</v>
      </c>
    </row>
    <row r="183" spans="1:10" ht="43.2" x14ac:dyDescent="0.25">
      <c r="A183" s="3">
        <v>182</v>
      </c>
      <c r="B183" s="55" t="s">
        <v>643</v>
      </c>
      <c r="C183" s="55" t="s">
        <v>641</v>
      </c>
      <c r="D183" s="2">
        <v>117.5856</v>
      </c>
      <c r="E183" s="3"/>
      <c r="F183" s="3">
        <v>2</v>
      </c>
      <c r="G183" s="56" t="s">
        <v>642</v>
      </c>
      <c r="H183" s="4">
        <v>46000</v>
      </c>
      <c r="I183" s="4">
        <v>46000</v>
      </c>
      <c r="J183" s="44" t="s">
        <v>265</v>
      </c>
    </row>
    <row r="184" spans="1:10" ht="28.8" x14ac:dyDescent="0.25">
      <c r="A184" s="3">
        <v>183</v>
      </c>
      <c r="B184" s="55" t="s">
        <v>646</v>
      </c>
      <c r="C184" s="55" t="s">
        <v>644</v>
      </c>
      <c r="D184" s="2"/>
      <c r="E184" s="3"/>
      <c r="F184" s="3">
        <v>1</v>
      </c>
      <c r="G184" s="56" t="s">
        <v>645</v>
      </c>
      <c r="H184" s="4">
        <v>45505</v>
      </c>
      <c r="I184" s="4">
        <v>46022</v>
      </c>
      <c r="J184" s="44" t="s">
        <v>116</v>
      </c>
    </row>
    <row r="185" spans="1:10" ht="28.8" x14ac:dyDescent="0.25">
      <c r="A185" s="3">
        <v>184</v>
      </c>
      <c r="B185" s="55" t="s">
        <v>647</v>
      </c>
      <c r="C185" s="55" t="s">
        <v>644</v>
      </c>
      <c r="D185" s="2">
        <v>173</v>
      </c>
      <c r="E185" s="3"/>
      <c r="F185" s="3">
        <v>2</v>
      </c>
      <c r="G185" s="56" t="s">
        <v>645</v>
      </c>
      <c r="H185" s="4">
        <v>44866</v>
      </c>
      <c r="I185" s="4">
        <v>46022</v>
      </c>
      <c r="J185" s="44" t="s">
        <v>116</v>
      </c>
    </row>
    <row r="186" spans="1:10" ht="28.8" x14ac:dyDescent="0.25">
      <c r="A186" s="3">
        <v>185</v>
      </c>
      <c r="B186" s="55" t="s">
        <v>648</v>
      </c>
      <c r="C186" s="55" t="s">
        <v>644</v>
      </c>
      <c r="D186" s="2"/>
      <c r="E186" s="3"/>
      <c r="F186" s="3">
        <v>2</v>
      </c>
      <c r="G186" s="56" t="s">
        <v>645</v>
      </c>
      <c r="H186" s="4">
        <v>45566</v>
      </c>
      <c r="I186" s="4">
        <v>46022</v>
      </c>
      <c r="J186" s="44" t="s">
        <v>116</v>
      </c>
    </row>
    <row r="187" spans="1:10" ht="28.8" x14ac:dyDescent="0.25">
      <c r="A187" s="3">
        <v>186</v>
      </c>
      <c r="B187" s="55" t="s">
        <v>649</v>
      </c>
      <c r="C187" s="55" t="s">
        <v>644</v>
      </c>
      <c r="D187" s="2">
        <v>130</v>
      </c>
      <c r="E187" s="3"/>
      <c r="F187" s="3">
        <v>2</v>
      </c>
      <c r="G187" s="56" t="s">
        <v>645</v>
      </c>
      <c r="H187" s="4">
        <v>45992</v>
      </c>
      <c r="I187" s="4">
        <v>46022</v>
      </c>
      <c r="J187" s="44" t="s">
        <v>116</v>
      </c>
    </row>
    <row r="188" spans="1:10" ht="28.8" x14ac:dyDescent="0.25">
      <c r="A188" s="3">
        <v>187</v>
      </c>
      <c r="B188" s="58" t="s">
        <v>650</v>
      </c>
      <c r="C188" s="58" t="s">
        <v>651</v>
      </c>
      <c r="D188" s="2">
        <v>1</v>
      </c>
      <c r="E188" s="3"/>
      <c r="F188" s="3">
        <v>2</v>
      </c>
      <c r="G188" s="56" t="s">
        <v>619</v>
      </c>
      <c r="H188" s="4">
        <v>46038</v>
      </c>
      <c r="I188" s="4">
        <v>46038</v>
      </c>
      <c r="J188" s="59" t="s">
        <v>652</v>
      </c>
    </row>
    <row r="189" spans="1:10" ht="36" x14ac:dyDescent="0.25">
      <c r="A189" s="3">
        <v>188</v>
      </c>
      <c r="B189" s="52" t="s">
        <v>653</v>
      </c>
      <c r="C189" s="12" t="s">
        <v>58</v>
      </c>
      <c r="D189" s="53">
        <v>3.4988000000000001</v>
      </c>
      <c r="E189" s="3"/>
      <c r="F189" s="3">
        <v>1</v>
      </c>
      <c r="G189" s="53" t="s">
        <v>666</v>
      </c>
      <c r="H189" s="4" t="s">
        <v>667</v>
      </c>
      <c r="I189" s="4">
        <v>46106</v>
      </c>
      <c r="J189" s="44" t="s">
        <v>173</v>
      </c>
    </row>
    <row r="190" spans="1:10" ht="36" x14ac:dyDescent="0.25">
      <c r="A190" s="3">
        <v>189</v>
      </c>
      <c r="B190" s="52" t="s">
        <v>654</v>
      </c>
      <c r="C190" s="12" t="s">
        <v>58</v>
      </c>
      <c r="D190" s="53">
        <v>3.1059999999999999</v>
      </c>
      <c r="E190" s="3"/>
      <c r="F190" s="3">
        <v>1</v>
      </c>
      <c r="G190" s="53" t="s">
        <v>666</v>
      </c>
      <c r="H190" s="4" t="s">
        <v>667</v>
      </c>
      <c r="I190" s="4">
        <v>46106</v>
      </c>
      <c r="J190" s="44" t="s">
        <v>173</v>
      </c>
    </row>
    <row r="191" spans="1:10" ht="36" x14ac:dyDescent="0.25">
      <c r="A191" s="3">
        <v>190</v>
      </c>
      <c r="B191" s="52" t="s">
        <v>655</v>
      </c>
      <c r="C191" s="12" t="s">
        <v>58</v>
      </c>
      <c r="D191" s="53">
        <v>5.4893999999999998</v>
      </c>
      <c r="E191" s="3"/>
      <c r="F191" s="3">
        <v>1</v>
      </c>
      <c r="G191" s="53" t="s">
        <v>666</v>
      </c>
      <c r="H191" s="4" t="s">
        <v>667</v>
      </c>
      <c r="I191" s="4">
        <v>46106</v>
      </c>
      <c r="J191" s="44" t="s">
        <v>173</v>
      </c>
    </row>
    <row r="192" spans="1:10" ht="24" x14ac:dyDescent="0.25">
      <c r="A192" s="3">
        <v>191</v>
      </c>
      <c r="B192" s="52" t="s">
        <v>656</v>
      </c>
      <c r="C192" s="12" t="s">
        <v>58</v>
      </c>
      <c r="D192" s="53">
        <v>1.9</v>
      </c>
      <c r="E192" s="3"/>
      <c r="F192" s="3">
        <v>1</v>
      </c>
      <c r="G192" s="53" t="s">
        <v>666</v>
      </c>
      <c r="H192" s="4" t="s">
        <v>667</v>
      </c>
      <c r="I192" s="4">
        <v>46106</v>
      </c>
      <c r="J192" s="44" t="s">
        <v>173</v>
      </c>
    </row>
    <row r="193" spans="1:10" ht="24" x14ac:dyDescent="0.25">
      <c r="A193" s="3">
        <v>192</v>
      </c>
      <c r="B193" s="52" t="s">
        <v>657</v>
      </c>
      <c r="C193" s="12" t="s">
        <v>58</v>
      </c>
      <c r="D193" s="53">
        <v>2.8984999999999999</v>
      </c>
      <c r="E193" s="3"/>
      <c r="F193" s="3">
        <v>1</v>
      </c>
      <c r="G193" s="53" t="s">
        <v>666</v>
      </c>
      <c r="H193" s="4" t="s">
        <v>667</v>
      </c>
      <c r="I193" s="4">
        <v>46106</v>
      </c>
      <c r="J193" s="44" t="s">
        <v>173</v>
      </c>
    </row>
    <row r="194" spans="1:10" ht="24" x14ac:dyDescent="0.25">
      <c r="A194" s="3">
        <v>193</v>
      </c>
      <c r="B194" s="52" t="s">
        <v>658</v>
      </c>
      <c r="C194" s="12" t="s">
        <v>58</v>
      </c>
      <c r="D194" s="53">
        <v>7.2004000000000001</v>
      </c>
      <c r="E194" s="3"/>
      <c r="F194" s="3">
        <v>1</v>
      </c>
      <c r="G194" s="53" t="s">
        <v>666</v>
      </c>
      <c r="H194" s="4" t="s">
        <v>667</v>
      </c>
      <c r="I194" s="4">
        <v>46106</v>
      </c>
      <c r="J194" s="44" t="s">
        <v>173</v>
      </c>
    </row>
    <row r="195" spans="1:10" ht="24" x14ac:dyDescent="0.25">
      <c r="A195" s="3">
        <v>194</v>
      </c>
      <c r="B195" s="52" t="s">
        <v>659</v>
      </c>
      <c r="C195" s="12" t="s">
        <v>58</v>
      </c>
      <c r="D195" s="53">
        <v>15.5411</v>
      </c>
      <c r="E195" s="3"/>
      <c r="F195" s="3">
        <v>1</v>
      </c>
      <c r="G195" s="53" t="s">
        <v>666</v>
      </c>
      <c r="H195" s="4" t="s">
        <v>667</v>
      </c>
      <c r="I195" s="4">
        <v>46106</v>
      </c>
      <c r="J195" s="44" t="s">
        <v>173</v>
      </c>
    </row>
    <row r="196" spans="1:10" x14ac:dyDescent="0.25">
      <c r="A196" s="3">
        <v>195</v>
      </c>
      <c r="B196" s="52" t="s">
        <v>660</v>
      </c>
      <c r="C196" s="12" t="s">
        <v>58</v>
      </c>
      <c r="D196" s="53">
        <v>13.074999999999999</v>
      </c>
      <c r="E196" s="3"/>
      <c r="F196" s="3">
        <v>1</v>
      </c>
      <c r="G196" s="53" t="s">
        <v>666</v>
      </c>
      <c r="H196" s="4" t="s">
        <v>667</v>
      </c>
      <c r="I196" s="4">
        <v>46106</v>
      </c>
      <c r="J196" s="44" t="s">
        <v>173</v>
      </c>
    </row>
    <row r="197" spans="1:10" ht="24" x14ac:dyDescent="0.25">
      <c r="A197" s="3">
        <v>196</v>
      </c>
      <c r="B197" s="52" t="s">
        <v>661</v>
      </c>
      <c r="C197" s="12" t="s">
        <v>58</v>
      </c>
      <c r="D197" s="53">
        <v>19.375</v>
      </c>
      <c r="E197" s="3"/>
      <c r="F197" s="3">
        <v>1</v>
      </c>
      <c r="G197" s="53" t="s">
        <v>666</v>
      </c>
      <c r="H197" s="4" t="s">
        <v>667</v>
      </c>
      <c r="I197" s="4">
        <v>46106</v>
      </c>
      <c r="J197" s="44" t="s">
        <v>173</v>
      </c>
    </row>
    <row r="198" spans="1:10" ht="24" x14ac:dyDescent="0.25">
      <c r="A198" s="3">
        <v>197</v>
      </c>
      <c r="B198" s="52" t="s">
        <v>662</v>
      </c>
      <c r="C198" s="12" t="s">
        <v>58</v>
      </c>
      <c r="D198" s="53">
        <v>6.7317</v>
      </c>
      <c r="E198" s="3"/>
      <c r="F198" s="3">
        <v>1</v>
      </c>
      <c r="G198" s="53" t="s">
        <v>666</v>
      </c>
      <c r="H198" s="4" t="s">
        <v>667</v>
      </c>
      <c r="I198" s="4">
        <v>46106</v>
      </c>
      <c r="J198" s="44" t="s">
        <v>173</v>
      </c>
    </row>
    <row r="199" spans="1:10" ht="24" x14ac:dyDescent="0.25">
      <c r="A199" s="3">
        <v>198</v>
      </c>
      <c r="B199" s="52" t="s">
        <v>663</v>
      </c>
      <c r="C199" s="12" t="s">
        <v>58</v>
      </c>
      <c r="D199" s="53">
        <v>7.7973999999999997</v>
      </c>
      <c r="E199" s="3"/>
      <c r="F199" s="3">
        <v>1</v>
      </c>
      <c r="G199" s="53" t="s">
        <v>666</v>
      </c>
      <c r="H199" s="4" t="s">
        <v>667</v>
      </c>
      <c r="I199" s="4">
        <v>46106</v>
      </c>
      <c r="J199" s="44" t="s">
        <v>173</v>
      </c>
    </row>
    <row r="200" spans="1:10" x14ac:dyDescent="0.25">
      <c r="A200" s="3">
        <v>199</v>
      </c>
      <c r="B200" s="52" t="s">
        <v>664</v>
      </c>
      <c r="C200" s="12" t="s">
        <v>58</v>
      </c>
      <c r="D200" s="53">
        <v>52.382300000000001</v>
      </c>
      <c r="E200" s="3"/>
      <c r="F200" s="3">
        <v>1</v>
      </c>
      <c r="G200" s="53" t="s">
        <v>666</v>
      </c>
      <c r="H200" s="4" t="s">
        <v>667</v>
      </c>
      <c r="I200" s="4">
        <v>46106</v>
      </c>
      <c r="J200" s="44" t="s">
        <v>173</v>
      </c>
    </row>
    <row r="201" spans="1:10" ht="24" x14ac:dyDescent="0.25">
      <c r="A201" s="3">
        <v>200</v>
      </c>
      <c r="B201" s="52" t="s">
        <v>665</v>
      </c>
      <c r="C201" s="12" t="s">
        <v>58</v>
      </c>
      <c r="D201" s="53">
        <v>73.811999999999998</v>
      </c>
      <c r="E201" s="3"/>
      <c r="F201" s="3">
        <v>1</v>
      </c>
      <c r="G201" s="53" t="s">
        <v>666</v>
      </c>
      <c r="H201" s="4" t="s">
        <v>667</v>
      </c>
      <c r="I201" s="4">
        <v>46106</v>
      </c>
      <c r="J201" s="44" t="s">
        <v>173</v>
      </c>
    </row>
    <row r="202" spans="1:10" x14ac:dyDescent="0.25">
      <c r="A202" s="3">
        <v>201</v>
      </c>
      <c r="B202" s="58" t="s">
        <v>669</v>
      </c>
      <c r="C202" s="58" t="s">
        <v>668</v>
      </c>
      <c r="D202" s="53">
        <v>2.1</v>
      </c>
      <c r="E202" s="3"/>
      <c r="F202" s="3">
        <v>2</v>
      </c>
      <c r="G202" s="60" t="s">
        <v>670</v>
      </c>
      <c r="H202" s="4">
        <v>46162</v>
      </c>
      <c r="I202" s="4">
        <v>46191</v>
      </c>
      <c r="J202" s="59" t="s">
        <v>671</v>
      </c>
    </row>
    <row r="203" spans="1:10" x14ac:dyDescent="0.25">
      <c r="A203" s="3">
        <v>202</v>
      </c>
      <c r="B203" s="52" t="s">
        <v>672</v>
      </c>
      <c r="C203" s="52" t="s">
        <v>673</v>
      </c>
      <c r="D203" s="53">
        <v>1.5</v>
      </c>
      <c r="E203" s="3"/>
      <c r="F203" s="3">
        <v>1</v>
      </c>
      <c r="G203" s="60" t="s">
        <v>676</v>
      </c>
      <c r="H203" s="54">
        <v>46170</v>
      </c>
      <c r="I203" s="4">
        <v>46216</v>
      </c>
      <c r="J203" s="69" t="s">
        <v>677</v>
      </c>
    </row>
    <row r="204" spans="1:10" x14ac:dyDescent="0.25">
      <c r="A204" s="3">
        <v>203</v>
      </c>
      <c r="B204" s="52" t="s">
        <v>674</v>
      </c>
      <c r="C204" s="52" t="s">
        <v>675</v>
      </c>
      <c r="D204" s="53">
        <v>2.1</v>
      </c>
      <c r="E204" s="3"/>
      <c r="F204" s="3">
        <v>1</v>
      </c>
      <c r="G204" s="60" t="s">
        <v>676</v>
      </c>
      <c r="H204" s="54">
        <v>46155</v>
      </c>
      <c r="I204" s="4">
        <v>46216</v>
      </c>
      <c r="J204" s="69" t="s">
        <v>678</v>
      </c>
    </row>
    <row r="205" spans="1:10" x14ac:dyDescent="0.25">
      <c r="A205" s="3"/>
      <c r="B205" s="1"/>
      <c r="C205" s="1"/>
      <c r="D205" s="2"/>
      <c r="E205" s="3"/>
      <c r="F205" s="3"/>
      <c r="G205" s="3"/>
      <c r="H205" s="4"/>
      <c r="I205" s="3"/>
      <c r="J205" s="44"/>
    </row>
    <row r="206" spans="1:10" x14ac:dyDescent="0.25">
      <c r="A206" s="3"/>
      <c r="B206" s="1"/>
      <c r="C206" s="1"/>
      <c r="D206" s="2"/>
      <c r="E206" s="3"/>
      <c r="F206" s="3"/>
      <c r="G206" s="3"/>
      <c r="H206" s="4"/>
      <c r="I206" s="3"/>
      <c r="J206" s="44"/>
    </row>
    <row r="207" spans="1:10" x14ac:dyDescent="0.25">
      <c r="A207" s="3"/>
      <c r="B207" s="1"/>
      <c r="C207" s="1"/>
      <c r="D207" s="2"/>
      <c r="E207" s="3"/>
      <c r="F207" s="3"/>
      <c r="G207" s="3"/>
      <c r="H207" s="4"/>
      <c r="I207" s="3"/>
      <c r="J207" s="44"/>
    </row>
    <row r="208" spans="1:10" x14ac:dyDescent="0.25">
      <c r="A208" s="3"/>
      <c r="B208" s="1"/>
      <c r="C208" s="1"/>
      <c r="D208" s="2"/>
      <c r="E208" s="3"/>
      <c r="F208" s="3"/>
      <c r="G208" s="3"/>
      <c r="H208" s="4"/>
      <c r="I208" s="3"/>
      <c r="J208" s="44"/>
    </row>
    <row r="209" spans="1:10" x14ac:dyDescent="0.25">
      <c r="A209" s="3"/>
      <c r="B209" s="1"/>
      <c r="C209" s="1"/>
      <c r="D209" s="2"/>
      <c r="E209" s="3"/>
      <c r="F209" s="3"/>
      <c r="G209" s="3"/>
      <c r="H209" s="4"/>
      <c r="I209" s="3"/>
      <c r="J209" s="44"/>
    </row>
    <row r="210" spans="1:10" x14ac:dyDescent="0.25">
      <c r="A210" s="3"/>
      <c r="B210" s="1"/>
      <c r="C210" s="1"/>
      <c r="D210" s="2"/>
      <c r="E210" s="3"/>
      <c r="F210" s="3"/>
      <c r="G210" s="3"/>
      <c r="H210" s="4"/>
      <c r="I210" s="3"/>
      <c r="J210" s="44"/>
    </row>
    <row r="211" spans="1:10" x14ac:dyDescent="0.25">
      <c r="A211" s="3"/>
      <c r="B211" s="1"/>
      <c r="C211" s="1"/>
      <c r="D211" s="2"/>
      <c r="E211" s="3"/>
      <c r="F211" s="3"/>
      <c r="G211" s="3"/>
      <c r="H211" s="4"/>
      <c r="I211" s="3"/>
      <c r="J211" s="44"/>
    </row>
    <row r="212" spans="1:10" x14ac:dyDescent="0.25">
      <c r="A212" s="3"/>
      <c r="B212" s="1"/>
      <c r="C212" s="1"/>
      <c r="D212" s="2"/>
      <c r="E212" s="3"/>
      <c r="F212" s="3"/>
      <c r="G212" s="3"/>
      <c r="H212" s="4"/>
      <c r="I212" s="3"/>
      <c r="J212" s="44"/>
    </row>
  </sheetData>
  <autoFilter ref="A1:I187" xr:uid="{00000000-0009-0000-0000-000000000000}"/>
  <phoneticPr fontId="8"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7"/>
  <sheetViews>
    <sheetView zoomScale="80" zoomScaleNormal="80" workbookViewId="0">
      <pane ySplit="3" topLeftCell="A61" activePane="bottomLeft" state="frozen"/>
      <selection pane="bottomLeft" activeCell="C64" sqref="C64"/>
    </sheetView>
  </sheetViews>
  <sheetFormatPr defaultColWidth="8.88671875" defaultRowHeight="14.4" x14ac:dyDescent="0.25"/>
  <cols>
    <col min="1" max="1" width="5.44140625" style="6" customWidth="1"/>
    <col min="2" max="2" width="11.21875" style="6" customWidth="1"/>
    <col min="3" max="3" width="29.109375" style="6" customWidth="1"/>
    <col min="4" max="4" width="17.44140625" style="6" customWidth="1"/>
    <col min="5" max="5" width="15.6640625" style="6" customWidth="1"/>
    <col min="6" max="6" width="12.77734375" style="6" customWidth="1"/>
    <col min="7" max="7" width="11" style="6" customWidth="1"/>
    <col min="8" max="8" width="10.6640625" style="6" customWidth="1"/>
    <col min="9" max="9" width="91.44140625" style="6" customWidth="1"/>
    <col min="10" max="10" width="15.6640625" style="6" customWidth="1"/>
    <col min="11" max="11" width="41.77734375" style="6" customWidth="1"/>
    <col min="12" max="12" width="20.88671875" style="6" customWidth="1"/>
    <col min="13" max="13" width="13.5546875" style="6" customWidth="1"/>
    <col min="14" max="16" width="11.77734375" style="6" customWidth="1"/>
    <col min="17" max="17" width="10.33203125" style="6" customWidth="1"/>
    <col min="18" max="19" width="8.88671875" style="6"/>
    <col min="20" max="20" width="16.21875" style="6" customWidth="1"/>
    <col min="21" max="22" width="14.44140625" style="6" customWidth="1"/>
    <col min="23" max="23" width="13" style="6" customWidth="1"/>
    <col min="24" max="24" width="16" style="6" customWidth="1"/>
    <col min="25" max="25" width="10.77734375" style="6"/>
    <col min="26" max="16384" width="8.88671875" style="6"/>
  </cols>
  <sheetData>
    <row r="1" spans="1:24" ht="17.399999999999999" x14ac:dyDescent="0.25">
      <c r="A1" s="61" t="s">
        <v>288</v>
      </c>
      <c r="B1" s="61"/>
      <c r="C1" s="61"/>
      <c r="D1" s="61"/>
      <c r="E1" s="61"/>
      <c r="F1" s="61"/>
      <c r="G1" s="7"/>
      <c r="H1" s="7"/>
      <c r="I1" s="7"/>
      <c r="J1" s="61" t="s">
        <v>288</v>
      </c>
      <c r="K1" s="61"/>
      <c r="L1" s="61"/>
      <c r="M1" s="61"/>
      <c r="N1" s="61"/>
      <c r="O1" s="61"/>
      <c r="P1" s="61"/>
      <c r="Q1" s="61" t="s">
        <v>288</v>
      </c>
      <c r="R1" s="61"/>
      <c r="S1" s="61"/>
      <c r="T1" s="61"/>
      <c r="U1" s="61"/>
      <c r="V1" s="61"/>
      <c r="W1" s="61"/>
      <c r="X1" s="61"/>
    </row>
    <row r="2" spans="1:24" x14ac:dyDescent="0.25">
      <c r="A2" s="62" t="s">
        <v>289</v>
      </c>
      <c r="B2" s="62"/>
      <c r="C2" s="62"/>
      <c r="D2" s="62"/>
      <c r="E2" s="62"/>
      <c r="F2" s="62"/>
      <c r="G2" s="63" t="s">
        <v>290</v>
      </c>
      <c r="H2" s="64"/>
      <c r="I2" s="65"/>
      <c r="J2" s="62" t="s">
        <v>291</v>
      </c>
      <c r="K2" s="62"/>
      <c r="L2" s="62"/>
      <c r="M2" s="62"/>
      <c r="N2" s="62"/>
      <c r="O2" s="62"/>
      <c r="P2" s="62"/>
      <c r="Q2" s="62" t="s">
        <v>292</v>
      </c>
      <c r="R2" s="62"/>
      <c r="S2" s="62"/>
      <c r="T2" s="62"/>
      <c r="U2" s="62"/>
      <c r="V2" s="62"/>
      <c r="W2" s="62"/>
      <c r="X2" s="62"/>
    </row>
    <row r="3" spans="1:24" ht="28.8" x14ac:dyDescent="0.25">
      <c r="A3" s="1" t="s">
        <v>0</v>
      </c>
      <c r="B3" s="8" t="s">
        <v>293</v>
      </c>
      <c r="C3" s="8" t="s">
        <v>294</v>
      </c>
      <c r="D3" s="8" t="s">
        <v>295</v>
      </c>
      <c r="E3" s="8" t="s">
        <v>296</v>
      </c>
      <c r="F3" s="8" t="s">
        <v>297</v>
      </c>
      <c r="G3" s="8" t="s">
        <v>298</v>
      </c>
      <c r="H3" s="8" t="s">
        <v>299</v>
      </c>
      <c r="I3" s="8" t="s">
        <v>290</v>
      </c>
      <c r="J3" s="8" t="s">
        <v>300</v>
      </c>
      <c r="K3" s="8" t="s">
        <v>301</v>
      </c>
      <c r="L3" s="8" t="s">
        <v>302</v>
      </c>
      <c r="M3" s="1" t="s">
        <v>7</v>
      </c>
      <c r="N3" s="1" t="s">
        <v>303</v>
      </c>
      <c r="O3" s="1" t="s">
        <v>304</v>
      </c>
      <c r="P3" s="1" t="s">
        <v>305</v>
      </c>
      <c r="Q3" s="1" t="s">
        <v>306</v>
      </c>
      <c r="R3" s="1" t="s">
        <v>307</v>
      </c>
      <c r="S3" s="1" t="s">
        <v>6</v>
      </c>
      <c r="T3" s="1" t="s">
        <v>308</v>
      </c>
      <c r="U3" s="1" t="s">
        <v>8</v>
      </c>
      <c r="V3" s="8" t="s">
        <v>309</v>
      </c>
      <c r="W3" s="8" t="s">
        <v>310</v>
      </c>
      <c r="X3" s="1" t="s">
        <v>311</v>
      </c>
    </row>
    <row r="4" spans="1:24" ht="62.4" customHeight="1" x14ac:dyDescent="0.25">
      <c r="A4" s="1"/>
      <c r="B4" s="9" t="s">
        <v>312</v>
      </c>
      <c r="C4" s="9" t="s">
        <v>312</v>
      </c>
      <c r="D4" s="10" t="s">
        <v>313</v>
      </c>
      <c r="E4" s="10" t="s">
        <v>314</v>
      </c>
      <c r="F4" s="9" t="s">
        <v>312</v>
      </c>
      <c r="G4" s="9" t="s">
        <v>315</v>
      </c>
      <c r="H4" s="9" t="s">
        <v>316</v>
      </c>
      <c r="I4" s="10" t="s">
        <v>317</v>
      </c>
      <c r="J4" s="9" t="s">
        <v>312</v>
      </c>
      <c r="K4" s="9" t="s">
        <v>312</v>
      </c>
      <c r="L4" s="9" t="s">
        <v>312</v>
      </c>
      <c r="M4" s="14" t="s">
        <v>318</v>
      </c>
      <c r="N4" s="14" t="s">
        <v>319</v>
      </c>
      <c r="O4" s="14" t="s">
        <v>320</v>
      </c>
      <c r="P4" s="14" t="s">
        <v>321</v>
      </c>
      <c r="Q4" s="19" t="s">
        <v>312</v>
      </c>
      <c r="R4" s="19" t="s">
        <v>312</v>
      </c>
      <c r="S4" s="19" t="s">
        <v>312</v>
      </c>
      <c r="T4" s="19" t="s">
        <v>312</v>
      </c>
      <c r="U4" s="19" t="s">
        <v>312</v>
      </c>
      <c r="V4" s="9" t="s">
        <v>322</v>
      </c>
      <c r="W4" s="9" t="s">
        <v>322</v>
      </c>
      <c r="X4" s="9" t="s">
        <v>322</v>
      </c>
    </row>
    <row r="5" spans="1:24" ht="86.4" x14ac:dyDescent="0.25">
      <c r="A5" s="1">
        <v>1</v>
      </c>
      <c r="B5" s="1" t="s">
        <v>323</v>
      </c>
      <c r="C5" s="1" t="s">
        <v>324</v>
      </c>
      <c r="D5" s="1" t="s">
        <v>325</v>
      </c>
      <c r="E5" s="1" t="s">
        <v>326</v>
      </c>
      <c r="F5" s="1">
        <v>97600</v>
      </c>
      <c r="G5" s="1" t="s">
        <v>327</v>
      </c>
      <c r="H5" s="1" t="s">
        <v>328</v>
      </c>
      <c r="I5" s="1" t="s">
        <v>329</v>
      </c>
      <c r="J5" s="66">
        <v>30.69</v>
      </c>
      <c r="K5" s="66" t="s">
        <v>330</v>
      </c>
      <c r="L5" s="66" t="s">
        <v>331</v>
      </c>
      <c r="M5" s="68">
        <v>42968</v>
      </c>
      <c r="N5" s="1"/>
      <c r="O5" s="1"/>
      <c r="P5" s="1"/>
      <c r="Q5" s="8">
        <v>1</v>
      </c>
      <c r="R5" s="1" t="s">
        <v>332</v>
      </c>
      <c r="S5" s="1" t="s">
        <v>56</v>
      </c>
      <c r="T5" s="16">
        <v>42826</v>
      </c>
      <c r="U5" s="16">
        <v>42887</v>
      </c>
      <c r="V5" s="1" t="s">
        <v>333</v>
      </c>
      <c r="W5" s="1" t="s">
        <v>333</v>
      </c>
      <c r="X5" s="1" t="s">
        <v>333</v>
      </c>
    </row>
    <row r="6" spans="1:24" ht="86.4" x14ac:dyDescent="0.25">
      <c r="A6" s="1">
        <v>2</v>
      </c>
      <c r="B6" s="1" t="s">
        <v>334</v>
      </c>
      <c r="C6" s="1" t="s">
        <v>335</v>
      </c>
      <c r="D6" s="1" t="s">
        <v>325</v>
      </c>
      <c r="E6" s="1" t="s">
        <v>326</v>
      </c>
      <c r="F6" s="1">
        <v>23200</v>
      </c>
      <c r="G6" s="1" t="s">
        <v>327</v>
      </c>
      <c r="H6" s="1" t="s">
        <v>328</v>
      </c>
      <c r="I6" s="1" t="s">
        <v>329</v>
      </c>
      <c r="J6" s="67"/>
      <c r="K6" s="67"/>
      <c r="L6" s="67"/>
      <c r="M6" s="67"/>
      <c r="N6" s="1"/>
      <c r="O6" s="1"/>
      <c r="P6" s="1"/>
      <c r="Q6" s="8">
        <v>1</v>
      </c>
      <c r="R6" s="1" t="s">
        <v>332</v>
      </c>
      <c r="S6" s="1" t="s">
        <v>56</v>
      </c>
      <c r="T6" s="16">
        <v>42826</v>
      </c>
      <c r="U6" s="16">
        <v>42887</v>
      </c>
      <c r="V6" s="1" t="s">
        <v>333</v>
      </c>
      <c r="W6" s="1" t="s">
        <v>333</v>
      </c>
      <c r="X6" s="1" t="s">
        <v>333</v>
      </c>
    </row>
    <row r="7" spans="1:24" ht="72" x14ac:dyDescent="0.25">
      <c r="A7" s="1">
        <v>3</v>
      </c>
      <c r="B7" s="1" t="s">
        <v>336</v>
      </c>
      <c r="C7" s="1" t="s">
        <v>337</v>
      </c>
      <c r="D7" s="1" t="s">
        <v>338</v>
      </c>
      <c r="E7" s="1" t="s">
        <v>339</v>
      </c>
      <c r="F7" s="1">
        <v>1409</v>
      </c>
      <c r="G7" s="8" t="s">
        <v>340</v>
      </c>
      <c r="H7" s="8" t="s">
        <v>340</v>
      </c>
      <c r="I7" s="1" t="s">
        <v>341</v>
      </c>
      <c r="J7" s="15">
        <v>6.4</v>
      </c>
      <c r="K7" s="8" t="s">
        <v>13</v>
      </c>
      <c r="L7" s="8" t="s">
        <v>342</v>
      </c>
      <c r="M7" s="16">
        <v>42652</v>
      </c>
      <c r="N7" s="1"/>
      <c r="O7" s="1"/>
      <c r="P7" s="1"/>
      <c r="Q7" s="8">
        <v>2</v>
      </c>
      <c r="R7" s="1" t="s">
        <v>332</v>
      </c>
      <c r="S7" s="1" t="s">
        <v>15</v>
      </c>
      <c r="T7" s="16">
        <v>42675</v>
      </c>
      <c r="U7" s="16">
        <v>42906</v>
      </c>
      <c r="V7" s="1" t="s">
        <v>333</v>
      </c>
      <c r="W7" s="1" t="s">
        <v>333</v>
      </c>
      <c r="X7" s="1" t="s">
        <v>333</v>
      </c>
    </row>
    <row r="8" spans="1:24" ht="144" x14ac:dyDescent="0.25">
      <c r="A8" s="1">
        <v>4</v>
      </c>
      <c r="B8" s="1" t="s">
        <v>343</v>
      </c>
      <c r="C8" s="1" t="s">
        <v>344</v>
      </c>
      <c r="D8" s="1" t="s">
        <v>325</v>
      </c>
      <c r="E8" s="1" t="s">
        <v>345</v>
      </c>
      <c r="F8" s="1">
        <v>26058</v>
      </c>
      <c r="G8" s="1" t="s">
        <v>346</v>
      </c>
      <c r="H8" s="1" t="s">
        <v>328</v>
      </c>
      <c r="I8" s="1" t="s">
        <v>347</v>
      </c>
      <c r="J8" s="1">
        <v>38.26</v>
      </c>
      <c r="K8" s="1" t="s">
        <v>348</v>
      </c>
      <c r="L8" s="1" t="s">
        <v>28</v>
      </c>
      <c r="M8" s="16">
        <v>42833</v>
      </c>
      <c r="N8" s="1"/>
      <c r="O8" s="1"/>
      <c r="P8" s="1"/>
      <c r="Q8" s="8" t="s">
        <v>333</v>
      </c>
      <c r="R8" s="1" t="s">
        <v>332</v>
      </c>
      <c r="S8" s="1" t="s">
        <v>32</v>
      </c>
      <c r="T8" s="1"/>
      <c r="U8" s="16">
        <v>43174</v>
      </c>
      <c r="V8" s="1" t="s">
        <v>332</v>
      </c>
      <c r="W8" s="1" t="s">
        <v>333</v>
      </c>
      <c r="X8" s="1" t="s">
        <v>333</v>
      </c>
    </row>
    <row r="9" spans="1:24" ht="57.6" x14ac:dyDescent="0.25">
      <c r="A9" s="1">
        <v>5</v>
      </c>
      <c r="B9" s="1" t="s">
        <v>349</v>
      </c>
      <c r="C9" s="1" t="s">
        <v>350</v>
      </c>
      <c r="D9" s="1" t="s">
        <v>325</v>
      </c>
      <c r="E9" s="1" t="s">
        <v>351</v>
      </c>
      <c r="F9" s="1">
        <v>1615.6193000000001</v>
      </c>
      <c r="G9" s="8" t="s">
        <v>352</v>
      </c>
      <c r="H9" s="1" t="s">
        <v>328</v>
      </c>
      <c r="I9" s="1" t="s">
        <v>353</v>
      </c>
      <c r="J9" s="1">
        <v>9.4</v>
      </c>
      <c r="K9" s="1" t="s">
        <v>354</v>
      </c>
      <c r="L9" s="1" t="s">
        <v>28</v>
      </c>
      <c r="M9" s="16">
        <v>42843</v>
      </c>
      <c r="N9" s="1"/>
      <c r="O9" s="1"/>
      <c r="P9" s="1"/>
      <c r="Q9" s="8" t="s">
        <v>333</v>
      </c>
      <c r="R9" s="1" t="s">
        <v>332</v>
      </c>
      <c r="S9" s="1" t="s">
        <v>32</v>
      </c>
      <c r="T9" s="1"/>
      <c r="U9" s="16">
        <v>43174</v>
      </c>
      <c r="V9" s="1" t="s">
        <v>332</v>
      </c>
      <c r="W9" s="1" t="s">
        <v>333</v>
      </c>
      <c r="X9" s="1" t="s">
        <v>333</v>
      </c>
    </row>
    <row r="10" spans="1:24" ht="72" x14ac:dyDescent="0.25">
      <c r="A10" s="1">
        <v>6</v>
      </c>
      <c r="B10" s="1" t="s">
        <v>355</v>
      </c>
      <c r="C10" s="1" t="s">
        <v>356</v>
      </c>
      <c r="D10" s="1" t="s">
        <v>325</v>
      </c>
      <c r="E10" s="1" t="s">
        <v>351</v>
      </c>
      <c r="F10" s="1">
        <v>121</v>
      </c>
      <c r="G10" s="1" t="s">
        <v>357</v>
      </c>
      <c r="H10" s="1" t="s">
        <v>328</v>
      </c>
      <c r="I10" s="1" t="s">
        <v>358</v>
      </c>
      <c r="J10" s="1">
        <v>5.36</v>
      </c>
      <c r="K10" s="1" t="s">
        <v>359</v>
      </c>
      <c r="L10" s="1" t="s">
        <v>28</v>
      </c>
      <c r="M10" s="16">
        <v>42795</v>
      </c>
      <c r="N10" s="1"/>
      <c r="O10" s="1"/>
      <c r="P10" s="1"/>
      <c r="Q10" s="8" t="s">
        <v>333</v>
      </c>
      <c r="R10" s="1" t="s">
        <v>332</v>
      </c>
      <c r="S10" s="1" t="s">
        <v>32</v>
      </c>
      <c r="T10" s="1"/>
      <c r="U10" s="16">
        <v>43174</v>
      </c>
      <c r="V10" s="1" t="s">
        <v>332</v>
      </c>
      <c r="W10" s="1" t="s">
        <v>333</v>
      </c>
      <c r="X10" s="1" t="s">
        <v>333</v>
      </c>
    </row>
    <row r="11" spans="1:24" ht="57.6" x14ac:dyDescent="0.25">
      <c r="A11" s="1">
        <v>7</v>
      </c>
      <c r="B11" s="1" t="s">
        <v>360</v>
      </c>
      <c r="C11" s="1" t="s">
        <v>361</v>
      </c>
      <c r="D11" s="1" t="s">
        <v>325</v>
      </c>
      <c r="E11" s="1" t="s">
        <v>351</v>
      </c>
      <c r="F11" s="1">
        <v>293779</v>
      </c>
      <c r="G11" s="1" t="s">
        <v>362</v>
      </c>
      <c r="H11" s="1" t="s">
        <v>328</v>
      </c>
      <c r="I11" s="1" t="s">
        <v>363</v>
      </c>
      <c r="J11" s="1">
        <v>21</v>
      </c>
      <c r="K11" s="1" t="s">
        <v>364</v>
      </c>
      <c r="L11" s="1" t="s">
        <v>28</v>
      </c>
      <c r="M11" s="1"/>
      <c r="N11" s="1"/>
      <c r="O11" s="1"/>
      <c r="P11" s="1"/>
      <c r="Q11" s="8" t="s">
        <v>333</v>
      </c>
      <c r="R11" s="1" t="s">
        <v>332</v>
      </c>
      <c r="S11" s="1" t="s">
        <v>32</v>
      </c>
      <c r="T11" s="1"/>
      <c r="U11" s="16">
        <v>43174</v>
      </c>
      <c r="V11" s="1" t="s">
        <v>332</v>
      </c>
      <c r="W11" s="1" t="s">
        <v>333</v>
      </c>
      <c r="X11" s="1" t="s">
        <v>333</v>
      </c>
    </row>
    <row r="12" spans="1:24" ht="72" x14ac:dyDescent="0.25">
      <c r="A12" s="1">
        <v>8</v>
      </c>
      <c r="B12" s="1" t="s">
        <v>365</v>
      </c>
      <c r="C12" s="1" t="s">
        <v>366</v>
      </c>
      <c r="D12" s="1" t="s">
        <v>325</v>
      </c>
      <c r="E12" s="1" t="s">
        <v>351</v>
      </c>
      <c r="F12" s="1">
        <v>200839.61629999999</v>
      </c>
      <c r="G12" s="1" t="s">
        <v>367</v>
      </c>
      <c r="H12" s="1" t="s">
        <v>328</v>
      </c>
      <c r="I12" s="1" t="s">
        <v>368</v>
      </c>
      <c r="J12" s="1">
        <v>23.52</v>
      </c>
      <c r="K12" s="1" t="s">
        <v>369</v>
      </c>
      <c r="L12" s="1" t="s">
        <v>28</v>
      </c>
      <c r="M12" s="16">
        <v>43016</v>
      </c>
      <c r="N12" s="1"/>
      <c r="O12" s="1"/>
      <c r="P12" s="1"/>
      <c r="Q12" s="8" t="s">
        <v>332</v>
      </c>
      <c r="R12" s="1" t="s">
        <v>332</v>
      </c>
      <c r="S12" s="1" t="s">
        <v>32</v>
      </c>
      <c r="T12" s="1"/>
      <c r="U12" s="16">
        <v>43174</v>
      </c>
      <c r="V12" s="1" t="s">
        <v>332</v>
      </c>
      <c r="W12" s="1" t="s">
        <v>333</v>
      </c>
      <c r="X12" s="1" t="s">
        <v>333</v>
      </c>
    </row>
    <row r="13" spans="1:24" ht="72" x14ac:dyDescent="0.25">
      <c r="A13" s="1">
        <v>9</v>
      </c>
      <c r="B13" s="1" t="s">
        <v>370</v>
      </c>
      <c r="C13" s="1" t="s">
        <v>371</v>
      </c>
      <c r="D13" s="1" t="s">
        <v>325</v>
      </c>
      <c r="E13" s="1" t="s">
        <v>351</v>
      </c>
      <c r="F13" s="1">
        <v>2482227</v>
      </c>
      <c r="G13" s="1" t="s">
        <v>372</v>
      </c>
      <c r="H13" s="1" t="s">
        <v>328</v>
      </c>
      <c r="I13" s="1" t="s">
        <v>373</v>
      </c>
      <c r="J13" s="1">
        <v>137</v>
      </c>
      <c r="K13" s="1" t="s">
        <v>374</v>
      </c>
      <c r="L13" s="1" t="s">
        <v>28</v>
      </c>
      <c r="M13" s="16">
        <v>42950</v>
      </c>
      <c r="N13" s="1"/>
      <c r="O13" s="1"/>
      <c r="P13" s="1"/>
      <c r="Q13" s="8" t="s">
        <v>332</v>
      </c>
      <c r="R13" s="1" t="s">
        <v>332</v>
      </c>
      <c r="S13" s="1" t="s">
        <v>32</v>
      </c>
      <c r="T13" s="1"/>
      <c r="U13" s="16">
        <v>43174</v>
      </c>
      <c r="V13" s="1" t="s">
        <v>332</v>
      </c>
      <c r="W13" s="1" t="s">
        <v>333</v>
      </c>
      <c r="X13" s="1" t="s">
        <v>333</v>
      </c>
    </row>
    <row r="14" spans="1:24" ht="72" x14ac:dyDescent="0.25">
      <c r="A14" s="1">
        <v>10</v>
      </c>
      <c r="B14" s="1" t="s">
        <v>375</v>
      </c>
      <c r="C14" s="1" t="s">
        <v>376</v>
      </c>
      <c r="D14" s="1" t="s">
        <v>325</v>
      </c>
      <c r="E14" s="1" t="s">
        <v>351</v>
      </c>
      <c r="F14" s="1">
        <f>(9707154.3+19810902.07+33028306.1+33395208.23+20721740.22+9813869.6)/10000</f>
        <v>12647.718052</v>
      </c>
      <c r="G14" s="1" t="s">
        <v>377</v>
      </c>
      <c r="H14" s="1" t="s">
        <v>378</v>
      </c>
      <c r="I14" s="1" t="s">
        <v>379</v>
      </c>
      <c r="J14" s="1">
        <v>23.07</v>
      </c>
      <c r="K14" s="1" t="s">
        <v>380</v>
      </c>
      <c r="L14" s="1" t="s">
        <v>28</v>
      </c>
      <c r="M14" s="16">
        <v>42753</v>
      </c>
      <c r="N14" s="1"/>
      <c r="O14" s="1"/>
      <c r="P14" s="1"/>
      <c r="Q14" s="8" t="s">
        <v>333</v>
      </c>
      <c r="R14" s="1" t="s">
        <v>332</v>
      </c>
      <c r="S14" s="1" t="s">
        <v>32</v>
      </c>
      <c r="T14" s="1"/>
      <c r="U14" s="16">
        <v>43174</v>
      </c>
      <c r="V14" s="1" t="s">
        <v>332</v>
      </c>
      <c r="W14" s="1" t="s">
        <v>333</v>
      </c>
      <c r="X14" s="1" t="s">
        <v>333</v>
      </c>
    </row>
    <row r="15" spans="1:24" ht="129.6" x14ac:dyDescent="0.25">
      <c r="A15" s="1">
        <v>11</v>
      </c>
      <c r="B15" s="1" t="s">
        <v>381</v>
      </c>
      <c r="C15" s="1" t="s">
        <v>382</v>
      </c>
      <c r="D15" s="1" t="s">
        <v>325</v>
      </c>
      <c r="E15" s="1" t="s">
        <v>345</v>
      </c>
      <c r="F15" s="1">
        <v>18736</v>
      </c>
      <c r="G15" s="8" t="s">
        <v>340</v>
      </c>
      <c r="H15" s="1" t="s">
        <v>328</v>
      </c>
      <c r="I15" s="1" t="s">
        <v>383</v>
      </c>
      <c r="J15" s="1">
        <v>21.46</v>
      </c>
      <c r="K15" s="1" t="s">
        <v>384</v>
      </c>
      <c r="L15" s="1" t="s">
        <v>28</v>
      </c>
      <c r="M15" s="16">
        <v>42868</v>
      </c>
      <c r="N15" s="1"/>
      <c r="O15" s="1"/>
      <c r="P15" s="1"/>
      <c r="Q15" s="8" t="s">
        <v>333</v>
      </c>
      <c r="R15" s="1" t="s">
        <v>332</v>
      </c>
      <c r="S15" s="1" t="s">
        <v>32</v>
      </c>
      <c r="T15" s="1"/>
      <c r="U15" s="16">
        <v>43174</v>
      </c>
      <c r="V15" s="1" t="s">
        <v>332</v>
      </c>
      <c r="W15" s="1" t="s">
        <v>333</v>
      </c>
      <c r="X15" s="1" t="s">
        <v>333</v>
      </c>
    </row>
    <row r="16" spans="1:24" ht="57.6" x14ac:dyDescent="0.25">
      <c r="A16" s="1">
        <v>12</v>
      </c>
      <c r="B16" s="1" t="s">
        <v>385</v>
      </c>
      <c r="C16" s="1" t="s">
        <v>386</v>
      </c>
      <c r="D16" s="1" t="s">
        <v>325</v>
      </c>
      <c r="E16" s="1" t="s">
        <v>387</v>
      </c>
      <c r="F16" s="1">
        <f>153200-12664</f>
        <v>140536</v>
      </c>
      <c r="G16" s="1" t="s">
        <v>388</v>
      </c>
      <c r="H16" s="1" t="s">
        <v>389</v>
      </c>
      <c r="I16" s="1" t="s">
        <v>390</v>
      </c>
      <c r="J16" s="1">
        <v>2.1</v>
      </c>
      <c r="K16" s="1" t="s">
        <v>391</v>
      </c>
      <c r="L16" s="1" t="s">
        <v>40</v>
      </c>
      <c r="M16" s="17" t="s">
        <v>392</v>
      </c>
      <c r="N16" s="1"/>
      <c r="O16" s="1"/>
      <c r="P16" s="1"/>
      <c r="Q16" s="1">
        <v>1</v>
      </c>
      <c r="R16" s="1" t="s">
        <v>332</v>
      </c>
      <c r="S16" s="1" t="s">
        <v>41</v>
      </c>
      <c r="T16" s="20">
        <v>42917</v>
      </c>
      <c r="U16" s="16">
        <v>43185</v>
      </c>
      <c r="V16" s="1" t="s">
        <v>333</v>
      </c>
      <c r="W16" s="1" t="s">
        <v>333</v>
      </c>
      <c r="X16" s="1" t="s">
        <v>333</v>
      </c>
    </row>
    <row r="17" spans="1:24" ht="86.4" x14ac:dyDescent="0.25">
      <c r="A17" s="1">
        <v>13</v>
      </c>
      <c r="B17" s="1" t="s">
        <v>393</v>
      </c>
      <c r="C17" s="1" t="s">
        <v>394</v>
      </c>
      <c r="D17" s="1" t="s">
        <v>325</v>
      </c>
      <c r="E17" s="1" t="s">
        <v>395</v>
      </c>
      <c r="F17" s="1">
        <v>12664</v>
      </c>
      <c r="G17" s="8" t="s">
        <v>340</v>
      </c>
      <c r="H17" s="1" t="s">
        <v>389</v>
      </c>
      <c r="I17" s="1" t="s">
        <v>396</v>
      </c>
      <c r="J17" s="1">
        <v>1.9</v>
      </c>
      <c r="K17" s="1" t="s">
        <v>397</v>
      </c>
      <c r="L17" s="1" t="s">
        <v>40</v>
      </c>
      <c r="M17" s="17" t="s">
        <v>392</v>
      </c>
      <c r="N17" s="1"/>
      <c r="O17" s="1"/>
      <c r="P17" s="1"/>
      <c r="Q17" s="1">
        <v>1</v>
      </c>
      <c r="R17" s="1" t="s">
        <v>332</v>
      </c>
      <c r="S17" s="1" t="s">
        <v>41</v>
      </c>
      <c r="T17" s="20">
        <v>42917</v>
      </c>
      <c r="U17" s="16">
        <v>43185</v>
      </c>
      <c r="V17" s="1" t="s">
        <v>333</v>
      </c>
      <c r="W17" s="1" t="s">
        <v>333</v>
      </c>
      <c r="X17" s="1" t="s">
        <v>333</v>
      </c>
    </row>
    <row r="18" spans="1:24" ht="57.6" x14ac:dyDescent="0.25">
      <c r="A18" s="1">
        <v>14</v>
      </c>
      <c r="B18" s="1" t="s">
        <v>398</v>
      </c>
      <c r="C18" s="1" t="s">
        <v>399</v>
      </c>
      <c r="D18" s="1" t="s">
        <v>325</v>
      </c>
      <c r="E18" s="1" t="s">
        <v>400</v>
      </c>
      <c r="F18" s="1">
        <v>43845</v>
      </c>
      <c r="G18" s="1" t="s">
        <v>401</v>
      </c>
      <c r="H18" s="1" t="s">
        <v>328</v>
      </c>
      <c r="I18" s="1" t="s">
        <v>402</v>
      </c>
      <c r="J18" s="1">
        <v>5.4</v>
      </c>
      <c r="K18" s="1" t="s">
        <v>403</v>
      </c>
      <c r="L18" s="1" t="s">
        <v>28</v>
      </c>
      <c r="M18" s="16">
        <v>42917</v>
      </c>
      <c r="N18" s="1"/>
      <c r="O18" s="1"/>
      <c r="P18" s="1"/>
      <c r="Q18" s="1">
        <v>2</v>
      </c>
      <c r="R18" s="1" t="s">
        <v>332</v>
      </c>
      <c r="S18" s="1" t="s">
        <v>29</v>
      </c>
      <c r="T18" s="20">
        <v>42948</v>
      </c>
      <c r="U18" s="16">
        <v>43186</v>
      </c>
      <c r="V18" s="1" t="s">
        <v>332</v>
      </c>
      <c r="W18" s="1" t="s">
        <v>332</v>
      </c>
      <c r="X18" s="1" t="s">
        <v>332</v>
      </c>
    </row>
    <row r="19" spans="1:24" ht="43.2" x14ac:dyDescent="0.25">
      <c r="A19" s="1">
        <v>15</v>
      </c>
      <c r="B19" s="1" t="s">
        <v>404</v>
      </c>
      <c r="C19" s="1" t="s">
        <v>405</v>
      </c>
      <c r="D19" s="1" t="s">
        <v>325</v>
      </c>
      <c r="E19" s="1" t="s">
        <v>406</v>
      </c>
      <c r="F19" s="1">
        <v>2007.5862</v>
      </c>
      <c r="G19" s="1" t="s">
        <v>407</v>
      </c>
      <c r="H19" s="1" t="s">
        <v>328</v>
      </c>
      <c r="I19" s="1" t="s">
        <v>408</v>
      </c>
      <c r="J19" s="1">
        <v>6.42</v>
      </c>
      <c r="K19" s="1" t="s">
        <v>409</v>
      </c>
      <c r="L19" s="1" t="s">
        <v>28</v>
      </c>
      <c r="M19" s="16">
        <v>42614</v>
      </c>
      <c r="N19" s="1"/>
      <c r="O19" s="1"/>
      <c r="P19" s="1"/>
      <c r="Q19" s="1">
        <v>2</v>
      </c>
      <c r="R19" s="1" t="s">
        <v>332</v>
      </c>
      <c r="S19" s="1" t="s">
        <v>29</v>
      </c>
      <c r="T19" s="20">
        <v>42644</v>
      </c>
      <c r="U19" s="16">
        <v>43186</v>
      </c>
      <c r="V19" s="1" t="s">
        <v>332</v>
      </c>
      <c r="W19" s="1" t="s">
        <v>332</v>
      </c>
      <c r="X19" s="1" t="s">
        <v>332</v>
      </c>
    </row>
    <row r="20" spans="1:24" ht="43.2" x14ac:dyDescent="0.25">
      <c r="A20" s="1">
        <v>16</v>
      </c>
      <c r="B20" s="1" t="s">
        <v>410</v>
      </c>
      <c r="C20" s="1" t="s">
        <v>411</v>
      </c>
      <c r="D20" s="1" t="s">
        <v>325</v>
      </c>
      <c r="E20" s="1" t="s">
        <v>406</v>
      </c>
      <c r="F20" s="1">
        <v>8178.8</v>
      </c>
      <c r="G20" s="1" t="s">
        <v>412</v>
      </c>
      <c r="H20" s="1" t="s">
        <v>328</v>
      </c>
      <c r="I20" s="1" t="s">
        <v>413</v>
      </c>
      <c r="J20" s="1">
        <v>10.57</v>
      </c>
      <c r="K20" s="1" t="s">
        <v>414</v>
      </c>
      <c r="L20" s="1" t="s">
        <v>28</v>
      </c>
      <c r="M20" s="16">
        <v>42583</v>
      </c>
      <c r="N20" s="1"/>
      <c r="O20" s="1"/>
      <c r="P20" s="1"/>
      <c r="Q20" s="1">
        <v>2</v>
      </c>
      <c r="R20" s="1" t="s">
        <v>332</v>
      </c>
      <c r="S20" s="1" t="s">
        <v>29</v>
      </c>
      <c r="T20" s="20">
        <v>42614</v>
      </c>
      <c r="U20" s="16">
        <v>43186</v>
      </c>
      <c r="V20" s="1" t="s">
        <v>332</v>
      </c>
      <c r="W20" s="1" t="s">
        <v>332</v>
      </c>
      <c r="X20" s="1" t="s">
        <v>332</v>
      </c>
    </row>
    <row r="21" spans="1:24" ht="57.6" x14ac:dyDescent="0.25">
      <c r="A21" s="1">
        <v>17</v>
      </c>
      <c r="B21" s="1" t="s">
        <v>415</v>
      </c>
      <c r="C21" s="1" t="s">
        <v>416</v>
      </c>
      <c r="D21" s="1" t="s">
        <v>325</v>
      </c>
      <c r="E21" s="1" t="s">
        <v>400</v>
      </c>
      <c r="F21" s="1">
        <v>10190.6</v>
      </c>
      <c r="G21" s="1" t="s">
        <v>401</v>
      </c>
      <c r="H21" s="1" t="s">
        <v>328</v>
      </c>
      <c r="I21" s="1" t="s">
        <v>402</v>
      </c>
      <c r="J21" s="1">
        <v>4.1580000000000004</v>
      </c>
      <c r="K21" s="1" t="s">
        <v>417</v>
      </c>
      <c r="L21" s="1" t="s">
        <v>28</v>
      </c>
      <c r="M21" s="16">
        <v>43021</v>
      </c>
      <c r="N21" s="1"/>
      <c r="O21" s="1"/>
      <c r="P21" s="1"/>
      <c r="Q21" s="1">
        <v>1</v>
      </c>
      <c r="R21" s="1" t="s">
        <v>332</v>
      </c>
      <c r="S21" s="1" t="s">
        <v>29</v>
      </c>
      <c r="T21" s="16">
        <v>43084</v>
      </c>
      <c r="U21" s="16">
        <v>43475</v>
      </c>
      <c r="V21" s="1" t="s">
        <v>332</v>
      </c>
      <c r="W21" s="1" t="s">
        <v>332</v>
      </c>
      <c r="X21" s="1" t="s">
        <v>332</v>
      </c>
    </row>
    <row r="22" spans="1:24" ht="57.6" x14ac:dyDescent="0.25">
      <c r="A22" s="1">
        <v>18</v>
      </c>
      <c r="B22" s="1" t="s">
        <v>418</v>
      </c>
      <c r="C22" s="1" t="s">
        <v>419</v>
      </c>
      <c r="D22" s="1" t="s">
        <v>325</v>
      </c>
      <c r="E22" s="1" t="s">
        <v>420</v>
      </c>
      <c r="F22" s="1">
        <v>27249.972900000001</v>
      </c>
      <c r="G22" s="1" t="s">
        <v>421</v>
      </c>
      <c r="H22" s="1" t="s">
        <v>378</v>
      </c>
      <c r="I22" s="1" t="s">
        <v>422</v>
      </c>
      <c r="J22" s="1">
        <v>9.7840000000000007</v>
      </c>
      <c r="K22" s="1" t="s">
        <v>423</v>
      </c>
      <c r="L22" s="1" t="s">
        <v>28</v>
      </c>
      <c r="M22" s="16">
        <v>43040</v>
      </c>
      <c r="N22" s="1"/>
      <c r="O22" s="1"/>
      <c r="P22" s="1"/>
      <c r="Q22" s="1">
        <v>1</v>
      </c>
      <c r="R22" s="1" t="s">
        <v>332</v>
      </c>
      <c r="S22" s="1" t="s">
        <v>29</v>
      </c>
      <c r="T22" s="16">
        <v>43115</v>
      </c>
      <c r="U22" s="16">
        <v>43475</v>
      </c>
      <c r="V22" s="1" t="s">
        <v>332</v>
      </c>
      <c r="W22" s="1" t="s">
        <v>332</v>
      </c>
      <c r="X22" s="1" t="s">
        <v>332</v>
      </c>
    </row>
    <row r="23" spans="1:24" ht="57.6" x14ac:dyDescent="0.25">
      <c r="A23" s="1">
        <v>19</v>
      </c>
      <c r="B23" s="1" t="s">
        <v>424</v>
      </c>
      <c r="C23" s="1" t="s">
        <v>425</v>
      </c>
      <c r="D23" s="1" t="s">
        <v>325</v>
      </c>
      <c r="E23" s="1" t="s">
        <v>420</v>
      </c>
      <c r="F23" s="1">
        <v>11513</v>
      </c>
      <c r="G23" s="1" t="s">
        <v>426</v>
      </c>
      <c r="H23" s="1" t="s">
        <v>378</v>
      </c>
      <c r="I23" s="1" t="s">
        <v>427</v>
      </c>
      <c r="J23" s="1">
        <v>10.1448</v>
      </c>
      <c r="K23" s="1" t="s">
        <v>428</v>
      </c>
      <c r="L23" s="1" t="s">
        <v>28</v>
      </c>
      <c r="M23" s="16">
        <v>43191</v>
      </c>
      <c r="N23" s="1"/>
      <c r="O23" s="1"/>
      <c r="P23" s="1"/>
      <c r="Q23" s="1">
        <v>1</v>
      </c>
      <c r="R23" s="1" t="s">
        <v>332</v>
      </c>
      <c r="S23" s="1" t="s">
        <v>91</v>
      </c>
      <c r="T23" s="16">
        <v>43449</v>
      </c>
      <c r="U23" s="16">
        <v>43475</v>
      </c>
      <c r="V23" s="1" t="s">
        <v>332</v>
      </c>
      <c r="W23" s="1" t="s">
        <v>332</v>
      </c>
      <c r="X23" s="1" t="s">
        <v>332</v>
      </c>
    </row>
    <row r="24" spans="1:24" ht="57.6" x14ac:dyDescent="0.25">
      <c r="A24" s="1">
        <v>20</v>
      </c>
      <c r="B24" s="1" t="s">
        <v>429</v>
      </c>
      <c r="C24" s="1" t="s">
        <v>430</v>
      </c>
      <c r="D24" s="1" t="s">
        <v>338</v>
      </c>
      <c r="E24" s="1" t="s">
        <v>420</v>
      </c>
      <c r="F24" s="1">
        <v>1961</v>
      </c>
      <c r="G24" s="1" t="s">
        <v>431</v>
      </c>
      <c r="H24" s="1" t="s">
        <v>389</v>
      </c>
      <c r="I24" s="1" t="s">
        <v>432</v>
      </c>
      <c r="J24" s="1">
        <v>3.2198000000000002</v>
      </c>
      <c r="K24" s="1" t="s">
        <v>433</v>
      </c>
      <c r="L24" s="1" t="s">
        <v>58</v>
      </c>
      <c r="M24" s="16">
        <v>43252</v>
      </c>
      <c r="N24" s="1"/>
      <c r="O24" s="1"/>
      <c r="P24" s="1"/>
      <c r="Q24" s="1">
        <v>1</v>
      </c>
      <c r="R24" s="1" t="s">
        <v>332</v>
      </c>
      <c r="S24" s="1" t="s">
        <v>68</v>
      </c>
      <c r="T24" s="16">
        <v>43334</v>
      </c>
      <c r="U24" s="16">
        <v>43475</v>
      </c>
      <c r="V24" s="1" t="s">
        <v>332</v>
      </c>
      <c r="W24" s="1" t="s">
        <v>332</v>
      </c>
      <c r="X24" s="1" t="s">
        <v>332</v>
      </c>
    </row>
    <row r="25" spans="1:24" ht="57.6" x14ac:dyDescent="0.25">
      <c r="A25" s="1">
        <v>21</v>
      </c>
      <c r="B25" s="1" t="s">
        <v>434</v>
      </c>
      <c r="C25" s="1" t="s">
        <v>435</v>
      </c>
      <c r="D25" s="1" t="s">
        <v>436</v>
      </c>
      <c r="E25" s="1" t="s">
        <v>437</v>
      </c>
      <c r="F25" s="1">
        <v>24122.36</v>
      </c>
      <c r="G25" s="8" t="s">
        <v>438</v>
      </c>
      <c r="H25" s="8" t="s">
        <v>439</v>
      </c>
      <c r="I25" s="1" t="s">
        <v>440</v>
      </c>
      <c r="J25" s="8">
        <v>25</v>
      </c>
      <c r="K25" s="1" t="s">
        <v>45</v>
      </c>
      <c r="L25" s="1" t="s">
        <v>46</v>
      </c>
      <c r="M25" s="16">
        <v>43206</v>
      </c>
      <c r="N25" s="8" t="s">
        <v>333</v>
      </c>
      <c r="O25" s="8" t="s">
        <v>333</v>
      </c>
      <c r="P25" s="8" t="s">
        <v>333</v>
      </c>
      <c r="Q25" s="8">
        <v>1</v>
      </c>
      <c r="R25" s="8" t="s">
        <v>332</v>
      </c>
      <c r="S25" s="8" t="s">
        <v>32</v>
      </c>
      <c r="T25" s="21">
        <v>43432</v>
      </c>
      <c r="U25" s="21">
        <v>43766</v>
      </c>
      <c r="V25" s="8" t="s">
        <v>441</v>
      </c>
      <c r="W25" s="8" t="s">
        <v>333</v>
      </c>
      <c r="X25" s="8" t="s">
        <v>332</v>
      </c>
    </row>
    <row r="26" spans="1:24" ht="72" x14ac:dyDescent="0.25">
      <c r="A26" s="1">
        <v>22</v>
      </c>
      <c r="B26" s="1" t="s">
        <v>442</v>
      </c>
      <c r="C26" s="1" t="s">
        <v>443</v>
      </c>
      <c r="D26" s="1" t="s">
        <v>325</v>
      </c>
      <c r="E26" s="1" t="s">
        <v>420</v>
      </c>
      <c r="F26" s="1">
        <v>12923</v>
      </c>
      <c r="G26" s="1" t="s">
        <v>444</v>
      </c>
      <c r="H26" s="1" t="s">
        <v>378</v>
      </c>
      <c r="I26" s="1" t="s">
        <v>445</v>
      </c>
      <c r="J26" s="1">
        <v>9</v>
      </c>
      <c r="K26" s="1" t="s">
        <v>446</v>
      </c>
      <c r="L26" s="1" t="s">
        <v>58</v>
      </c>
      <c r="M26" s="16">
        <v>43525</v>
      </c>
      <c r="N26" s="1"/>
      <c r="O26" s="1"/>
      <c r="P26" s="1"/>
      <c r="Q26" s="1">
        <v>1</v>
      </c>
      <c r="R26" s="1" t="s">
        <v>332</v>
      </c>
      <c r="S26" s="1" t="s">
        <v>68</v>
      </c>
      <c r="T26" s="16">
        <v>43525</v>
      </c>
      <c r="U26" s="16">
        <v>43801</v>
      </c>
      <c r="V26" s="1" t="s">
        <v>332</v>
      </c>
      <c r="W26" s="1" t="s">
        <v>332</v>
      </c>
      <c r="X26" s="1" t="s">
        <v>332</v>
      </c>
    </row>
    <row r="27" spans="1:24" ht="72" x14ac:dyDescent="0.25">
      <c r="A27" s="1">
        <v>23</v>
      </c>
      <c r="B27" s="1" t="s">
        <v>447</v>
      </c>
      <c r="C27" s="1" t="s">
        <v>448</v>
      </c>
      <c r="D27" s="1" t="s">
        <v>325</v>
      </c>
      <c r="E27" s="1" t="s">
        <v>449</v>
      </c>
      <c r="F27" s="1">
        <v>9382.2837</v>
      </c>
      <c r="G27" s="1" t="s">
        <v>450</v>
      </c>
      <c r="H27" s="1" t="s">
        <v>378</v>
      </c>
      <c r="I27" s="1" t="s">
        <v>451</v>
      </c>
      <c r="J27" s="1">
        <v>11.706799999999999</v>
      </c>
      <c r="K27" s="1" t="s">
        <v>452</v>
      </c>
      <c r="L27" s="1" t="s">
        <v>28</v>
      </c>
      <c r="M27" s="16">
        <v>42917</v>
      </c>
      <c r="N27" s="1"/>
      <c r="O27" s="1"/>
      <c r="P27" s="1"/>
      <c r="Q27" s="1">
        <v>1</v>
      </c>
      <c r="R27" s="1" t="s">
        <v>332</v>
      </c>
      <c r="S27" s="1" t="s">
        <v>91</v>
      </c>
      <c r="T27" s="16">
        <v>43511</v>
      </c>
      <c r="U27" s="16">
        <v>43802</v>
      </c>
      <c r="V27" s="1" t="s">
        <v>332</v>
      </c>
      <c r="W27" s="1" t="s">
        <v>332</v>
      </c>
      <c r="X27" s="1" t="s">
        <v>332</v>
      </c>
    </row>
    <row r="28" spans="1:24" ht="43.2" x14ac:dyDescent="0.25">
      <c r="A28" s="1">
        <v>24</v>
      </c>
      <c r="B28" s="1" t="s">
        <v>453</v>
      </c>
      <c r="C28" s="1" t="s">
        <v>454</v>
      </c>
      <c r="D28" s="1" t="s">
        <v>455</v>
      </c>
      <c r="E28" s="1" t="s">
        <v>406</v>
      </c>
      <c r="F28" s="1">
        <v>536.38969999999995</v>
      </c>
      <c r="G28" s="8" t="s">
        <v>340</v>
      </c>
      <c r="H28" s="1" t="s">
        <v>328</v>
      </c>
      <c r="I28" s="1" t="s">
        <v>456</v>
      </c>
      <c r="J28" s="1">
        <v>2.9174000000000002</v>
      </c>
      <c r="K28" s="1" t="s">
        <v>457</v>
      </c>
      <c r="L28" s="1" t="s">
        <v>58</v>
      </c>
      <c r="M28" s="16">
        <v>43631</v>
      </c>
      <c r="N28" s="1"/>
      <c r="O28" s="1"/>
      <c r="P28" s="1"/>
      <c r="Q28" s="1">
        <v>1</v>
      </c>
      <c r="R28" s="1" t="s">
        <v>332</v>
      </c>
      <c r="S28" s="1" t="s">
        <v>32</v>
      </c>
      <c r="T28" s="16">
        <v>43687</v>
      </c>
      <c r="U28" s="16">
        <v>43801</v>
      </c>
      <c r="V28" s="1" t="s">
        <v>332</v>
      </c>
      <c r="W28" s="1" t="s">
        <v>332</v>
      </c>
      <c r="X28" s="1" t="s">
        <v>332</v>
      </c>
    </row>
    <row r="29" spans="1:24" ht="57.6" x14ac:dyDescent="0.25">
      <c r="A29" s="1">
        <v>25</v>
      </c>
      <c r="B29" s="1" t="s">
        <v>458</v>
      </c>
      <c r="C29" s="1" t="s">
        <v>459</v>
      </c>
      <c r="D29" s="1" t="s">
        <v>325</v>
      </c>
      <c r="E29" s="1" t="s">
        <v>406</v>
      </c>
      <c r="F29" s="1">
        <v>1046.2061000000001</v>
      </c>
      <c r="G29" s="1" t="s">
        <v>460</v>
      </c>
      <c r="H29" s="1" t="s">
        <v>328</v>
      </c>
      <c r="I29" s="1" t="s">
        <v>461</v>
      </c>
      <c r="J29" s="1">
        <v>4.7588999999999997</v>
      </c>
      <c r="K29" s="1" t="s">
        <v>462</v>
      </c>
      <c r="L29" s="1" t="s">
        <v>58</v>
      </c>
      <c r="M29" s="16">
        <v>43631</v>
      </c>
      <c r="N29" s="1"/>
      <c r="O29" s="1"/>
      <c r="P29" s="1"/>
      <c r="Q29" s="1">
        <v>1</v>
      </c>
      <c r="R29" s="1" t="s">
        <v>332</v>
      </c>
      <c r="S29" s="1" t="s">
        <v>32</v>
      </c>
      <c r="T29" s="16">
        <v>43687</v>
      </c>
      <c r="U29" s="16">
        <v>43801</v>
      </c>
      <c r="V29" s="1" t="s">
        <v>332</v>
      </c>
      <c r="W29" s="1" t="s">
        <v>332</v>
      </c>
      <c r="X29" s="1" t="s">
        <v>332</v>
      </c>
    </row>
    <row r="30" spans="1:24" ht="43.2" x14ac:dyDescent="0.25">
      <c r="A30" s="1">
        <v>26</v>
      </c>
      <c r="B30" s="1" t="s">
        <v>463</v>
      </c>
      <c r="C30" s="1" t="s">
        <v>464</v>
      </c>
      <c r="D30" s="1" t="s">
        <v>436</v>
      </c>
      <c r="E30" s="1" t="s">
        <v>465</v>
      </c>
      <c r="F30" s="1">
        <v>1830669.01</v>
      </c>
      <c r="G30" s="1"/>
      <c r="H30" s="1"/>
      <c r="I30" s="1"/>
      <c r="J30" s="1">
        <v>172.2</v>
      </c>
      <c r="K30" s="1" t="s">
        <v>47</v>
      </c>
      <c r="L30" s="1" t="s">
        <v>466</v>
      </c>
      <c r="M30" s="16">
        <v>43313</v>
      </c>
      <c r="N30" s="1"/>
      <c r="O30" s="1"/>
      <c r="P30" s="1"/>
      <c r="Q30" s="1">
        <v>1</v>
      </c>
      <c r="R30" s="1" t="s">
        <v>333</v>
      </c>
      <c r="S30" s="1" t="s">
        <v>32</v>
      </c>
      <c r="T30" s="4">
        <v>43800</v>
      </c>
      <c r="U30" s="4">
        <v>44165</v>
      </c>
      <c r="V30" s="1" t="s">
        <v>332</v>
      </c>
      <c r="W30" s="1" t="s">
        <v>333</v>
      </c>
      <c r="X30" s="1" t="s">
        <v>333</v>
      </c>
    </row>
    <row r="31" spans="1:24" ht="43.2" x14ac:dyDescent="0.25">
      <c r="A31" s="1">
        <v>27</v>
      </c>
      <c r="B31" s="1" t="s">
        <v>467</v>
      </c>
      <c r="C31" s="1" t="s">
        <v>468</v>
      </c>
      <c r="D31" s="1" t="s">
        <v>436</v>
      </c>
      <c r="E31" s="1" t="s">
        <v>465</v>
      </c>
      <c r="F31" s="1">
        <v>174999.98</v>
      </c>
      <c r="G31" s="1"/>
      <c r="H31" s="1"/>
      <c r="I31" s="1"/>
      <c r="J31" s="3">
        <v>31.6</v>
      </c>
      <c r="K31" s="1" t="s">
        <v>51</v>
      </c>
      <c r="L31" s="1" t="s">
        <v>466</v>
      </c>
      <c r="M31" s="4">
        <v>42948</v>
      </c>
      <c r="N31" s="1"/>
      <c r="O31" s="1"/>
      <c r="P31" s="1"/>
      <c r="Q31" s="1">
        <v>1</v>
      </c>
      <c r="R31" s="1" t="s">
        <v>333</v>
      </c>
      <c r="S31" s="1" t="s">
        <v>32</v>
      </c>
      <c r="T31" s="4">
        <v>43800</v>
      </c>
      <c r="U31" s="4">
        <v>44165</v>
      </c>
      <c r="V31" s="1" t="s">
        <v>332</v>
      </c>
      <c r="W31" s="1" t="s">
        <v>333</v>
      </c>
      <c r="X31" s="1" t="s">
        <v>333</v>
      </c>
    </row>
    <row r="32" spans="1:24" ht="43.2" x14ac:dyDescent="0.25">
      <c r="A32" s="1">
        <v>28</v>
      </c>
      <c r="B32" s="1" t="s">
        <v>469</v>
      </c>
      <c r="C32" s="1" t="s">
        <v>470</v>
      </c>
      <c r="D32" s="1" t="s">
        <v>436</v>
      </c>
      <c r="E32" s="1" t="s">
        <v>465</v>
      </c>
      <c r="F32" s="1">
        <v>204499.64</v>
      </c>
      <c r="G32" s="1"/>
      <c r="H32" s="1"/>
      <c r="I32" s="1"/>
      <c r="J32" s="3">
        <v>38.1</v>
      </c>
      <c r="K32" s="1" t="s">
        <v>50</v>
      </c>
      <c r="L32" s="1" t="s">
        <v>466</v>
      </c>
      <c r="M32" s="4">
        <v>42948</v>
      </c>
      <c r="N32" s="1"/>
      <c r="O32" s="1"/>
      <c r="P32" s="1"/>
      <c r="Q32" s="1">
        <v>1</v>
      </c>
      <c r="R32" s="1" t="s">
        <v>333</v>
      </c>
      <c r="S32" s="1" t="s">
        <v>32</v>
      </c>
      <c r="T32" s="4">
        <v>43800</v>
      </c>
      <c r="U32" s="4">
        <v>44165</v>
      </c>
      <c r="V32" s="1" t="s">
        <v>332</v>
      </c>
      <c r="W32" s="1" t="s">
        <v>333</v>
      </c>
      <c r="X32" s="1" t="s">
        <v>333</v>
      </c>
    </row>
    <row r="33" spans="1:24" ht="86.4" x14ac:dyDescent="0.25">
      <c r="A33" s="1">
        <v>29</v>
      </c>
      <c r="B33" s="1" t="s">
        <v>471</v>
      </c>
      <c r="C33" s="1" t="s">
        <v>472</v>
      </c>
      <c r="D33" s="1" t="s">
        <v>325</v>
      </c>
      <c r="E33" s="1" t="s">
        <v>473</v>
      </c>
      <c r="F33" s="1">
        <v>19083.824100000002</v>
      </c>
      <c r="G33" s="1" t="s">
        <v>474</v>
      </c>
      <c r="H33" s="1" t="s">
        <v>328</v>
      </c>
      <c r="I33" s="1" t="s">
        <v>475</v>
      </c>
      <c r="J33" s="3" t="s">
        <v>333</v>
      </c>
      <c r="K33" s="1" t="s">
        <v>333</v>
      </c>
      <c r="L33" s="1" t="s">
        <v>58</v>
      </c>
      <c r="M33" s="4"/>
      <c r="N33" s="1"/>
      <c r="O33" s="1"/>
      <c r="P33" s="1"/>
      <c r="Q33" s="1">
        <v>1</v>
      </c>
      <c r="R33" s="1" t="s">
        <v>332</v>
      </c>
      <c r="S33" s="3" t="s">
        <v>91</v>
      </c>
      <c r="T33" s="4">
        <v>43983</v>
      </c>
      <c r="U33" s="4">
        <v>44155</v>
      </c>
      <c r="V33" s="1" t="s">
        <v>332</v>
      </c>
      <c r="W33" s="1" t="s">
        <v>332</v>
      </c>
      <c r="X33" s="1" t="s">
        <v>332</v>
      </c>
    </row>
    <row r="34" spans="1:24" ht="72" x14ac:dyDescent="0.25">
      <c r="A34" s="1">
        <v>30</v>
      </c>
      <c r="B34" s="1" t="s">
        <v>476</v>
      </c>
      <c r="C34" s="1" t="s">
        <v>477</v>
      </c>
      <c r="D34" s="1" t="s">
        <v>325</v>
      </c>
      <c r="E34" s="1" t="s">
        <v>478</v>
      </c>
      <c r="F34" s="1">
        <v>229.48750000000001</v>
      </c>
      <c r="G34" s="1" t="s">
        <v>479</v>
      </c>
      <c r="H34" s="1" t="s">
        <v>378</v>
      </c>
      <c r="I34" s="1" t="s">
        <v>480</v>
      </c>
      <c r="J34" s="1" t="s">
        <v>333</v>
      </c>
      <c r="K34" s="1" t="s">
        <v>333</v>
      </c>
      <c r="L34" s="1" t="s">
        <v>333</v>
      </c>
      <c r="M34" s="1"/>
      <c r="N34" s="1"/>
      <c r="O34" s="1"/>
      <c r="P34" s="1"/>
      <c r="Q34" s="1">
        <v>1</v>
      </c>
      <c r="R34" s="1" t="s">
        <v>332</v>
      </c>
      <c r="S34" s="1" t="s">
        <v>68</v>
      </c>
      <c r="T34" s="16">
        <v>44105</v>
      </c>
      <c r="U34" s="16">
        <v>44187</v>
      </c>
      <c r="V34" s="1" t="s">
        <v>332</v>
      </c>
      <c r="W34" s="1" t="s">
        <v>332</v>
      </c>
      <c r="X34" s="1" t="s">
        <v>332</v>
      </c>
    </row>
    <row r="35" spans="1:24" ht="86.4" x14ac:dyDescent="0.25">
      <c r="A35" s="1">
        <v>31</v>
      </c>
      <c r="B35" s="1" t="s">
        <v>481</v>
      </c>
      <c r="C35" s="1" t="s">
        <v>482</v>
      </c>
      <c r="D35" s="1" t="s">
        <v>325</v>
      </c>
      <c r="E35" s="1" t="s">
        <v>478</v>
      </c>
      <c r="F35" s="1">
        <v>6060.9691000000003</v>
      </c>
      <c r="G35" s="1" t="s">
        <v>474</v>
      </c>
      <c r="H35" s="1" t="s">
        <v>328</v>
      </c>
      <c r="I35" s="1" t="s">
        <v>475</v>
      </c>
      <c r="J35" s="3" t="s">
        <v>333</v>
      </c>
      <c r="K35" s="1" t="s">
        <v>333</v>
      </c>
      <c r="L35" s="1" t="s">
        <v>58</v>
      </c>
      <c r="M35" s="1"/>
      <c r="N35" s="1"/>
      <c r="O35" s="1"/>
      <c r="P35" s="1"/>
      <c r="Q35" s="1">
        <v>1</v>
      </c>
      <c r="R35" s="1" t="s">
        <v>332</v>
      </c>
      <c r="S35" s="1" t="s">
        <v>68</v>
      </c>
      <c r="T35" s="16">
        <v>44105</v>
      </c>
      <c r="U35" s="16">
        <v>44187</v>
      </c>
      <c r="V35" s="1" t="s">
        <v>332</v>
      </c>
      <c r="W35" s="1" t="s">
        <v>332</v>
      </c>
      <c r="X35" s="1" t="s">
        <v>332</v>
      </c>
    </row>
    <row r="36" spans="1:24" ht="86.4" x14ac:dyDescent="0.25">
      <c r="A36" s="1">
        <v>32</v>
      </c>
      <c r="B36" s="1" t="s">
        <v>483</v>
      </c>
      <c r="C36" s="1" t="s">
        <v>484</v>
      </c>
      <c r="D36" s="1" t="s">
        <v>325</v>
      </c>
      <c r="E36" s="1" t="s">
        <v>351</v>
      </c>
      <c r="F36" s="1">
        <v>5312.4458000000004</v>
      </c>
      <c r="G36" s="1" t="s">
        <v>485</v>
      </c>
      <c r="H36" s="1" t="s">
        <v>328</v>
      </c>
      <c r="I36" s="1" t="s">
        <v>486</v>
      </c>
      <c r="J36" s="3">
        <v>5.6386000000000003</v>
      </c>
      <c r="K36" s="1" t="s">
        <v>63</v>
      </c>
      <c r="L36" s="1" t="s">
        <v>28</v>
      </c>
      <c r="M36" s="4">
        <v>42917</v>
      </c>
      <c r="N36" s="1" t="s">
        <v>15</v>
      </c>
      <c r="O36" s="1" t="s">
        <v>56</v>
      </c>
      <c r="P36" s="1" t="s">
        <v>487</v>
      </c>
      <c r="Q36" s="1">
        <v>1</v>
      </c>
      <c r="R36" s="1" t="s">
        <v>332</v>
      </c>
      <c r="S36" s="1" t="s">
        <v>91</v>
      </c>
      <c r="T36" s="16">
        <v>42979</v>
      </c>
      <c r="U36" s="16">
        <v>44236</v>
      </c>
      <c r="V36" s="1" t="s">
        <v>332</v>
      </c>
      <c r="W36" s="1" t="s">
        <v>332</v>
      </c>
      <c r="X36" s="1" t="s">
        <v>332</v>
      </c>
    </row>
    <row r="37" spans="1:24" ht="72" x14ac:dyDescent="0.25">
      <c r="A37" s="1">
        <v>33</v>
      </c>
      <c r="B37" s="1" t="s">
        <v>488</v>
      </c>
      <c r="C37" s="1" t="s">
        <v>489</v>
      </c>
      <c r="D37" s="1" t="s">
        <v>325</v>
      </c>
      <c r="E37" s="1" t="s">
        <v>351</v>
      </c>
      <c r="F37" s="1">
        <v>16092.110500000001</v>
      </c>
      <c r="G37" s="1" t="s">
        <v>490</v>
      </c>
      <c r="H37" s="1" t="s">
        <v>328</v>
      </c>
      <c r="I37" s="1" t="s">
        <v>491</v>
      </c>
      <c r="J37" s="3">
        <v>11.749700000000001</v>
      </c>
      <c r="K37" s="1" t="s">
        <v>59</v>
      </c>
      <c r="L37" s="1" t="s">
        <v>28</v>
      </c>
      <c r="M37" s="16">
        <v>42767</v>
      </c>
      <c r="N37" s="1" t="s">
        <v>15</v>
      </c>
      <c r="O37" s="1" t="s">
        <v>56</v>
      </c>
      <c r="P37" s="1" t="s">
        <v>29</v>
      </c>
      <c r="Q37" s="1">
        <v>1</v>
      </c>
      <c r="R37" s="1" t="s">
        <v>332</v>
      </c>
      <c r="S37" s="1" t="s">
        <v>91</v>
      </c>
      <c r="T37" s="16">
        <v>43040</v>
      </c>
      <c r="U37" s="16">
        <v>44236</v>
      </c>
      <c r="V37" s="1" t="s">
        <v>332</v>
      </c>
      <c r="W37" s="1" t="s">
        <v>332</v>
      </c>
      <c r="X37" s="1" t="s">
        <v>332</v>
      </c>
    </row>
    <row r="38" spans="1:24" ht="72" x14ac:dyDescent="0.25">
      <c r="A38" s="1">
        <v>34</v>
      </c>
      <c r="B38" s="1" t="s">
        <v>492</v>
      </c>
      <c r="C38" s="1" t="s">
        <v>493</v>
      </c>
      <c r="D38" s="1" t="s">
        <v>325</v>
      </c>
      <c r="E38" s="1" t="s">
        <v>351</v>
      </c>
      <c r="F38" s="1">
        <v>208404.25399999999</v>
      </c>
      <c r="G38" s="1" t="s">
        <v>490</v>
      </c>
      <c r="H38" s="1" t="s">
        <v>328</v>
      </c>
      <c r="I38" s="1" t="s">
        <v>491</v>
      </c>
      <c r="J38" s="3">
        <v>12.3081</v>
      </c>
      <c r="K38" s="1" t="s">
        <v>61</v>
      </c>
      <c r="L38" s="1" t="s">
        <v>28</v>
      </c>
      <c r="M38" s="16">
        <v>42767</v>
      </c>
      <c r="N38" s="1" t="s">
        <v>15</v>
      </c>
      <c r="O38" s="1" t="s">
        <v>56</v>
      </c>
      <c r="P38" s="1" t="s">
        <v>29</v>
      </c>
      <c r="Q38" s="1">
        <v>1</v>
      </c>
      <c r="R38" s="1" t="s">
        <v>332</v>
      </c>
      <c r="S38" s="1" t="s">
        <v>91</v>
      </c>
      <c r="T38" s="16">
        <v>43040</v>
      </c>
      <c r="U38" s="16">
        <v>44236</v>
      </c>
      <c r="V38" s="1" t="s">
        <v>332</v>
      </c>
      <c r="W38" s="1" t="s">
        <v>332</v>
      </c>
      <c r="X38" s="1" t="s">
        <v>332</v>
      </c>
    </row>
    <row r="39" spans="1:24" ht="115.2" x14ac:dyDescent="0.25">
      <c r="A39" s="1">
        <v>35</v>
      </c>
      <c r="B39" s="1" t="s">
        <v>494</v>
      </c>
      <c r="C39" s="1" t="s">
        <v>495</v>
      </c>
      <c r="D39" s="1" t="s">
        <v>325</v>
      </c>
      <c r="E39" s="1" t="s">
        <v>420</v>
      </c>
      <c r="F39" s="1">
        <v>28048.357899999999</v>
      </c>
      <c r="G39" s="1" t="s">
        <v>496</v>
      </c>
      <c r="H39" s="1" t="s">
        <v>497</v>
      </c>
      <c r="I39" s="1" t="s">
        <v>498</v>
      </c>
      <c r="J39" s="1">
        <v>11.706799999999999</v>
      </c>
      <c r="K39" s="1" t="s">
        <v>69</v>
      </c>
      <c r="L39" s="1" t="s">
        <v>28</v>
      </c>
      <c r="M39" s="4">
        <v>42917</v>
      </c>
      <c r="N39" s="1" t="s">
        <v>15</v>
      </c>
      <c r="O39" s="1" t="s">
        <v>56</v>
      </c>
      <c r="P39" s="1" t="s">
        <v>499</v>
      </c>
      <c r="Q39" s="1">
        <v>1</v>
      </c>
      <c r="R39" s="1" t="s">
        <v>332</v>
      </c>
      <c r="S39" s="1" t="s">
        <v>91</v>
      </c>
      <c r="T39" s="16">
        <v>43070</v>
      </c>
      <c r="U39" s="16">
        <v>44236</v>
      </c>
      <c r="V39" s="1" t="s">
        <v>332</v>
      </c>
      <c r="W39" s="1" t="s">
        <v>332</v>
      </c>
      <c r="X39" s="1" t="s">
        <v>332</v>
      </c>
    </row>
    <row r="40" spans="1:24" ht="72" x14ac:dyDescent="0.25">
      <c r="A40" s="1">
        <v>36</v>
      </c>
      <c r="B40" s="1" t="s">
        <v>500</v>
      </c>
      <c r="C40" s="1" t="s">
        <v>501</v>
      </c>
      <c r="D40" s="1" t="s">
        <v>325</v>
      </c>
      <c r="E40" s="1" t="s">
        <v>420</v>
      </c>
      <c r="F40" s="1">
        <v>29928.8315</v>
      </c>
      <c r="G40" s="1" t="s">
        <v>502</v>
      </c>
      <c r="H40" s="1" t="s">
        <v>328</v>
      </c>
      <c r="I40" s="1" t="s">
        <v>503</v>
      </c>
      <c r="J40" s="1">
        <v>13.6683</v>
      </c>
      <c r="K40" s="1" t="s">
        <v>74</v>
      </c>
      <c r="L40" s="1" t="s">
        <v>28</v>
      </c>
      <c r="M40" s="16">
        <v>43132</v>
      </c>
      <c r="N40" s="1" t="s">
        <v>15</v>
      </c>
      <c r="O40" s="1" t="s">
        <v>56</v>
      </c>
      <c r="P40" s="1" t="s">
        <v>504</v>
      </c>
      <c r="Q40" s="1">
        <v>1</v>
      </c>
      <c r="R40" s="1" t="s">
        <v>332</v>
      </c>
      <c r="S40" s="1" t="s">
        <v>91</v>
      </c>
      <c r="T40" s="16">
        <v>43252</v>
      </c>
      <c r="U40" s="16">
        <v>44236</v>
      </c>
      <c r="V40" s="1" t="s">
        <v>332</v>
      </c>
      <c r="W40" s="1" t="s">
        <v>332</v>
      </c>
      <c r="X40" s="1" t="s">
        <v>332</v>
      </c>
    </row>
    <row r="41" spans="1:24" ht="86.4" x14ac:dyDescent="0.25">
      <c r="A41" s="1">
        <v>37</v>
      </c>
      <c r="B41" s="1" t="s">
        <v>505</v>
      </c>
      <c r="C41" s="1" t="s">
        <v>506</v>
      </c>
      <c r="D41" s="1" t="s">
        <v>325</v>
      </c>
      <c r="E41" s="1" t="s">
        <v>420</v>
      </c>
      <c r="F41" s="1">
        <v>7861.9548000000004</v>
      </c>
      <c r="G41" s="1" t="s">
        <v>485</v>
      </c>
      <c r="H41" s="1" t="s">
        <v>328</v>
      </c>
      <c r="I41" s="1" t="s">
        <v>486</v>
      </c>
      <c r="J41" s="1">
        <v>6.7534000000000001</v>
      </c>
      <c r="K41" s="1" t="s">
        <v>62</v>
      </c>
      <c r="L41" s="1" t="s">
        <v>28</v>
      </c>
      <c r="M41" s="16">
        <v>43191</v>
      </c>
      <c r="N41" s="1" t="s">
        <v>15</v>
      </c>
      <c r="O41" s="1" t="s">
        <v>56</v>
      </c>
      <c r="P41" s="1" t="s">
        <v>507</v>
      </c>
      <c r="Q41" s="1">
        <v>1</v>
      </c>
      <c r="R41" s="1" t="s">
        <v>332</v>
      </c>
      <c r="S41" s="1" t="s">
        <v>91</v>
      </c>
      <c r="T41" s="16">
        <v>43252</v>
      </c>
      <c r="U41" s="16">
        <v>44236</v>
      </c>
      <c r="V41" s="1" t="s">
        <v>332</v>
      </c>
      <c r="W41" s="1" t="s">
        <v>332</v>
      </c>
      <c r="X41" s="1" t="s">
        <v>332</v>
      </c>
    </row>
    <row r="42" spans="1:24" ht="72" x14ac:dyDescent="0.25">
      <c r="A42" s="1">
        <v>38</v>
      </c>
      <c r="B42" s="1" t="s">
        <v>508</v>
      </c>
      <c r="C42" s="1" t="s">
        <v>509</v>
      </c>
      <c r="D42" s="1" t="s">
        <v>325</v>
      </c>
      <c r="E42" s="1" t="s">
        <v>420</v>
      </c>
      <c r="F42" s="1">
        <v>5981.7604000000001</v>
      </c>
      <c r="G42" s="1" t="s">
        <v>502</v>
      </c>
      <c r="H42" s="1" t="s">
        <v>328</v>
      </c>
      <c r="I42" s="1" t="s">
        <v>503</v>
      </c>
      <c r="J42" s="1">
        <v>8.3977000000000004</v>
      </c>
      <c r="K42" s="1" t="s">
        <v>75</v>
      </c>
      <c r="L42" s="1" t="s">
        <v>28</v>
      </c>
      <c r="M42" s="4">
        <v>43222</v>
      </c>
      <c r="N42" s="1" t="s">
        <v>15</v>
      </c>
      <c r="O42" s="1" t="s">
        <v>56</v>
      </c>
      <c r="P42" s="1" t="s">
        <v>510</v>
      </c>
      <c r="Q42" s="1">
        <v>1</v>
      </c>
      <c r="R42" s="1" t="s">
        <v>332</v>
      </c>
      <c r="S42" s="1" t="s">
        <v>91</v>
      </c>
      <c r="T42" s="16">
        <v>43344</v>
      </c>
      <c r="U42" s="16">
        <v>44236</v>
      </c>
      <c r="V42" s="1" t="s">
        <v>332</v>
      </c>
      <c r="W42" s="1" t="s">
        <v>332</v>
      </c>
      <c r="X42" s="1" t="s">
        <v>332</v>
      </c>
    </row>
    <row r="43" spans="1:24" ht="158.4" x14ac:dyDescent="0.25">
      <c r="A43" s="1">
        <v>39</v>
      </c>
      <c r="B43" s="1" t="s">
        <v>511</v>
      </c>
      <c r="C43" s="1" t="s">
        <v>512</v>
      </c>
      <c r="D43" s="1" t="s">
        <v>325</v>
      </c>
      <c r="E43" s="1" t="s">
        <v>420</v>
      </c>
      <c r="F43" s="1">
        <v>18753.640200000002</v>
      </c>
      <c r="G43" s="1" t="s">
        <v>513</v>
      </c>
      <c r="H43" s="1" t="s">
        <v>328</v>
      </c>
      <c r="I43" s="1" t="s">
        <v>514</v>
      </c>
      <c r="J43" s="1">
        <v>17.5</v>
      </c>
      <c r="K43" s="1" t="s">
        <v>76</v>
      </c>
      <c r="L43" s="1" t="s">
        <v>28</v>
      </c>
      <c r="M43" s="4">
        <v>43317</v>
      </c>
      <c r="N43" s="1" t="s">
        <v>15</v>
      </c>
      <c r="O43" s="1" t="s">
        <v>56</v>
      </c>
      <c r="P43" s="1" t="s">
        <v>515</v>
      </c>
      <c r="Q43" s="1">
        <v>1</v>
      </c>
      <c r="R43" s="1" t="s">
        <v>332</v>
      </c>
      <c r="S43" s="1" t="s">
        <v>91</v>
      </c>
      <c r="T43" s="16">
        <v>43497</v>
      </c>
      <c r="U43" s="16">
        <v>44236</v>
      </c>
      <c r="V43" s="1" t="s">
        <v>332</v>
      </c>
      <c r="W43" s="1" t="s">
        <v>332</v>
      </c>
      <c r="X43" s="1" t="s">
        <v>332</v>
      </c>
    </row>
    <row r="44" spans="1:24" ht="100.8" x14ac:dyDescent="0.25">
      <c r="A44" s="1">
        <v>40</v>
      </c>
      <c r="B44" s="1" t="s">
        <v>516</v>
      </c>
      <c r="C44" s="1" t="s">
        <v>517</v>
      </c>
      <c r="D44" s="1" t="s">
        <v>325</v>
      </c>
      <c r="E44" s="1" t="s">
        <v>400</v>
      </c>
      <c r="F44" s="1">
        <v>5183.0384999999997</v>
      </c>
      <c r="G44" s="1" t="s">
        <v>518</v>
      </c>
      <c r="H44" s="1" t="s">
        <v>519</v>
      </c>
      <c r="I44" s="1" t="s">
        <v>520</v>
      </c>
      <c r="J44" s="1">
        <v>9.7200000000000006</v>
      </c>
      <c r="K44" s="1" t="s">
        <v>521</v>
      </c>
      <c r="L44" s="1" t="s">
        <v>138</v>
      </c>
      <c r="M44" s="16" t="s">
        <v>522</v>
      </c>
      <c r="N44" s="1" t="s">
        <v>15</v>
      </c>
      <c r="O44" s="1" t="s">
        <v>56</v>
      </c>
      <c r="P44" s="1" t="s">
        <v>523</v>
      </c>
      <c r="Q44" s="1">
        <v>1</v>
      </c>
      <c r="R44" s="1" t="s">
        <v>332</v>
      </c>
      <c r="S44" s="1" t="s">
        <v>68</v>
      </c>
      <c r="T44" s="16">
        <v>44136</v>
      </c>
      <c r="U44" s="16">
        <v>44234</v>
      </c>
      <c r="V44" s="1" t="s">
        <v>332</v>
      </c>
      <c r="W44" s="1" t="s">
        <v>332</v>
      </c>
      <c r="X44" s="1" t="s">
        <v>332</v>
      </c>
    </row>
    <row r="45" spans="1:24" ht="100.8" x14ac:dyDescent="0.25">
      <c r="A45" s="1">
        <v>41</v>
      </c>
      <c r="B45" s="1" t="s">
        <v>524</v>
      </c>
      <c r="C45" s="1" t="s">
        <v>525</v>
      </c>
      <c r="D45" s="1" t="s">
        <v>325</v>
      </c>
      <c r="E45" s="1" t="s">
        <v>526</v>
      </c>
      <c r="F45" s="1">
        <v>124328</v>
      </c>
      <c r="G45" s="1" t="s">
        <v>527</v>
      </c>
      <c r="H45" s="1" t="s">
        <v>497</v>
      </c>
      <c r="I45" s="1" t="s">
        <v>528</v>
      </c>
      <c r="J45" s="1">
        <v>96.3</v>
      </c>
      <c r="K45" s="1" t="s">
        <v>529</v>
      </c>
      <c r="L45" s="1" t="s">
        <v>111</v>
      </c>
      <c r="M45" s="16">
        <v>43957</v>
      </c>
      <c r="N45" s="1" t="s">
        <v>15</v>
      </c>
      <c r="O45" s="1" t="s">
        <v>56</v>
      </c>
      <c r="P45" s="1"/>
      <c r="Q45" s="1">
        <v>1</v>
      </c>
      <c r="R45" s="1" t="s">
        <v>332</v>
      </c>
      <c r="S45" s="1" t="s">
        <v>68</v>
      </c>
      <c r="T45" s="16">
        <v>43972</v>
      </c>
      <c r="U45" s="16">
        <v>44445</v>
      </c>
      <c r="V45" s="1" t="s">
        <v>333</v>
      </c>
      <c r="W45" s="1" t="s">
        <v>333</v>
      </c>
      <c r="X45" s="1" t="s">
        <v>333</v>
      </c>
    </row>
    <row r="46" spans="1:24" ht="57.6" x14ac:dyDescent="0.25">
      <c r="A46" s="1">
        <v>42</v>
      </c>
      <c r="B46" s="1" t="s">
        <v>530</v>
      </c>
      <c r="C46" s="1" t="s">
        <v>531</v>
      </c>
      <c r="D46" s="1" t="s">
        <v>325</v>
      </c>
      <c r="E46" s="1" t="s">
        <v>526</v>
      </c>
      <c r="F46" s="11">
        <v>30267.7084</v>
      </c>
      <c r="G46" s="1" t="s">
        <v>532</v>
      </c>
      <c r="H46" s="1" t="s">
        <v>519</v>
      </c>
      <c r="I46" s="1" t="s">
        <v>533</v>
      </c>
      <c r="J46" s="1">
        <v>33</v>
      </c>
      <c r="K46" s="1" t="s">
        <v>534</v>
      </c>
      <c r="L46" s="1" t="s">
        <v>113</v>
      </c>
      <c r="M46" s="16">
        <v>44173</v>
      </c>
      <c r="N46" s="1" t="s">
        <v>15</v>
      </c>
      <c r="O46" s="1" t="s">
        <v>56</v>
      </c>
      <c r="P46" s="1"/>
      <c r="Q46" s="1">
        <v>1</v>
      </c>
      <c r="R46" s="1" t="s">
        <v>332</v>
      </c>
      <c r="S46" s="1" t="s">
        <v>68</v>
      </c>
      <c r="T46" s="16">
        <v>44196</v>
      </c>
      <c r="U46" s="16">
        <v>44445</v>
      </c>
      <c r="V46" s="1" t="s">
        <v>332</v>
      </c>
      <c r="W46" s="1" t="s">
        <v>333</v>
      </c>
      <c r="X46" s="1" t="s">
        <v>333</v>
      </c>
    </row>
    <row r="47" spans="1:24" ht="72" x14ac:dyDescent="0.25">
      <c r="A47" s="1">
        <v>43</v>
      </c>
      <c r="B47" s="1"/>
      <c r="C47" s="1" t="s">
        <v>535</v>
      </c>
      <c r="D47" s="1" t="s">
        <v>325</v>
      </c>
      <c r="E47" s="1" t="s">
        <v>536</v>
      </c>
      <c r="F47" s="1"/>
      <c r="G47" s="1" t="s">
        <v>537</v>
      </c>
      <c r="H47" s="1" t="s">
        <v>328</v>
      </c>
      <c r="I47" s="1" t="s">
        <v>538</v>
      </c>
      <c r="J47" s="1">
        <v>40</v>
      </c>
      <c r="K47" s="1" t="s">
        <v>539</v>
      </c>
      <c r="L47" s="1" t="s">
        <v>82</v>
      </c>
      <c r="M47" s="16" t="s">
        <v>540</v>
      </c>
      <c r="N47" s="1" t="s">
        <v>15</v>
      </c>
      <c r="O47" s="1" t="s">
        <v>541</v>
      </c>
      <c r="P47" s="1" t="s">
        <v>542</v>
      </c>
      <c r="Q47" s="1">
        <v>1</v>
      </c>
      <c r="R47" s="1">
        <v>1</v>
      </c>
      <c r="S47" s="1" t="s">
        <v>126</v>
      </c>
      <c r="T47" s="1"/>
      <c r="U47" s="16">
        <v>44582</v>
      </c>
      <c r="V47" s="1" t="s">
        <v>333</v>
      </c>
      <c r="W47" s="1" t="s">
        <v>333</v>
      </c>
      <c r="X47" s="1" t="s">
        <v>333</v>
      </c>
    </row>
    <row r="48" spans="1:24" ht="72" x14ac:dyDescent="0.25">
      <c r="A48" s="1">
        <v>44</v>
      </c>
      <c r="B48" s="1" t="s">
        <v>543</v>
      </c>
      <c r="C48" s="1" t="s">
        <v>544</v>
      </c>
      <c r="D48" s="1" t="s">
        <v>325</v>
      </c>
      <c r="E48" s="1" t="s">
        <v>545</v>
      </c>
      <c r="F48" s="1">
        <v>358.26609999999999</v>
      </c>
      <c r="G48" s="1" t="s">
        <v>479</v>
      </c>
      <c r="H48" s="1" t="s">
        <v>497</v>
      </c>
      <c r="I48" s="1" t="s">
        <v>480</v>
      </c>
      <c r="J48" s="1">
        <v>5.8979999999999997</v>
      </c>
      <c r="K48" s="1" t="s">
        <v>546</v>
      </c>
      <c r="L48" s="1" t="s">
        <v>58</v>
      </c>
      <c r="M48" s="16">
        <v>42583</v>
      </c>
      <c r="N48" s="1" t="s">
        <v>15</v>
      </c>
      <c r="O48" s="1" t="s">
        <v>56</v>
      </c>
      <c r="P48" s="1" t="s">
        <v>547</v>
      </c>
      <c r="Q48" s="1">
        <v>1</v>
      </c>
      <c r="R48" s="1">
        <v>1</v>
      </c>
      <c r="S48" s="1" t="s">
        <v>68</v>
      </c>
      <c r="T48" s="16">
        <v>44500</v>
      </c>
      <c r="U48" s="16">
        <v>44586</v>
      </c>
      <c r="V48" s="1" t="s">
        <v>332</v>
      </c>
      <c r="W48" s="1" t="s">
        <v>332</v>
      </c>
      <c r="X48" s="1" t="s">
        <v>332</v>
      </c>
    </row>
    <row r="49" spans="1:25" ht="158.4" x14ac:dyDescent="0.25">
      <c r="A49" s="1">
        <v>45</v>
      </c>
      <c r="B49" s="1" t="s">
        <v>548</v>
      </c>
      <c r="C49" s="1" t="s">
        <v>549</v>
      </c>
      <c r="D49" s="1" t="s">
        <v>325</v>
      </c>
      <c r="E49" s="1" t="s">
        <v>545</v>
      </c>
      <c r="F49" s="1">
        <v>1544.9965</v>
      </c>
      <c r="G49" s="1" t="s">
        <v>550</v>
      </c>
      <c r="H49" s="1" t="s">
        <v>551</v>
      </c>
      <c r="I49" s="1" t="s">
        <v>552</v>
      </c>
      <c r="J49" s="1">
        <v>2.4668999999999999</v>
      </c>
      <c r="K49" s="1" t="s">
        <v>553</v>
      </c>
      <c r="L49" s="1" t="s">
        <v>58</v>
      </c>
      <c r="M49" s="16">
        <v>44510</v>
      </c>
      <c r="N49" s="1" t="s">
        <v>15</v>
      </c>
      <c r="O49" s="1" t="s">
        <v>56</v>
      </c>
      <c r="P49" s="1" t="s">
        <v>554</v>
      </c>
      <c r="Q49" s="1">
        <v>1</v>
      </c>
      <c r="R49" s="1">
        <v>1</v>
      </c>
      <c r="S49" s="1" t="s">
        <v>91</v>
      </c>
      <c r="T49" s="16">
        <v>44530</v>
      </c>
      <c r="U49" s="16">
        <v>44698</v>
      </c>
      <c r="V49" s="1" t="s">
        <v>332</v>
      </c>
      <c r="W49" s="1" t="s">
        <v>332</v>
      </c>
      <c r="X49" s="1" t="s">
        <v>332</v>
      </c>
    </row>
    <row r="50" spans="1:25" ht="115.2" x14ac:dyDescent="0.25">
      <c r="A50" s="1">
        <v>46</v>
      </c>
      <c r="B50" s="1" t="s">
        <v>555</v>
      </c>
      <c r="C50" s="1" t="s">
        <v>556</v>
      </c>
      <c r="D50" s="1" t="s">
        <v>325</v>
      </c>
      <c r="E50" s="1" t="s">
        <v>557</v>
      </c>
      <c r="F50" s="1"/>
      <c r="G50" s="1" t="s">
        <v>558</v>
      </c>
      <c r="H50" s="1" t="s">
        <v>497</v>
      </c>
      <c r="I50" s="1" t="s">
        <v>559</v>
      </c>
      <c r="J50" s="1"/>
      <c r="K50" s="1" t="s">
        <v>333</v>
      </c>
      <c r="L50" s="1" t="s">
        <v>560</v>
      </c>
      <c r="M50" s="1"/>
      <c r="N50" s="1"/>
      <c r="O50" s="1"/>
      <c r="P50" s="1"/>
      <c r="Q50" s="1">
        <v>1</v>
      </c>
      <c r="R50" s="1">
        <v>1</v>
      </c>
      <c r="S50" s="1" t="s">
        <v>561</v>
      </c>
      <c r="T50" s="16"/>
      <c r="U50" s="16">
        <v>45148</v>
      </c>
      <c r="V50" s="1" t="s">
        <v>333</v>
      </c>
      <c r="W50" s="1" t="s">
        <v>333</v>
      </c>
      <c r="X50" s="1" t="s">
        <v>333</v>
      </c>
    </row>
    <row r="51" spans="1:25" s="5" customFormat="1" ht="115.2" x14ac:dyDescent="0.25">
      <c r="A51" s="12">
        <v>47</v>
      </c>
      <c r="B51" s="12" t="s">
        <v>562</v>
      </c>
      <c r="C51" s="12" t="s">
        <v>563</v>
      </c>
      <c r="D51" s="12" t="s">
        <v>325</v>
      </c>
      <c r="E51" s="12" t="s">
        <v>557</v>
      </c>
      <c r="F51" s="12">
        <v>1143849.6864</v>
      </c>
      <c r="G51" s="12" t="s">
        <v>564</v>
      </c>
      <c r="H51" s="12" t="s">
        <v>328</v>
      </c>
      <c r="I51" s="12" t="s">
        <v>565</v>
      </c>
      <c r="J51" s="12">
        <v>284.17759999999998</v>
      </c>
      <c r="K51" s="12" t="s">
        <v>566</v>
      </c>
      <c r="L51" s="12" t="s">
        <v>58</v>
      </c>
      <c r="M51" s="18">
        <v>45078</v>
      </c>
      <c r="N51" s="12" t="s">
        <v>15</v>
      </c>
      <c r="O51" s="12" t="s">
        <v>29</v>
      </c>
      <c r="P51" s="12" t="s">
        <v>567</v>
      </c>
      <c r="Q51" s="12">
        <v>1</v>
      </c>
      <c r="R51" s="12">
        <v>1</v>
      </c>
      <c r="S51" s="12" t="s">
        <v>568</v>
      </c>
      <c r="T51" s="18">
        <v>45108</v>
      </c>
      <c r="U51" s="18">
        <v>45152</v>
      </c>
      <c r="V51" s="12" t="s">
        <v>332</v>
      </c>
      <c r="W51" s="12" t="s">
        <v>332</v>
      </c>
      <c r="X51" s="12" t="s">
        <v>332</v>
      </c>
      <c r="Y51" s="22">
        <v>45365</v>
      </c>
    </row>
    <row r="52" spans="1:25" ht="157.94999999999999" customHeight="1" x14ac:dyDescent="0.25">
      <c r="A52" s="1">
        <v>48</v>
      </c>
      <c r="B52" s="1" t="s">
        <v>569</v>
      </c>
      <c r="C52" s="1" t="s">
        <v>570</v>
      </c>
      <c r="D52" s="1" t="s">
        <v>325</v>
      </c>
      <c r="E52" s="1" t="s">
        <v>571</v>
      </c>
      <c r="F52" s="1">
        <v>393216.88099999999</v>
      </c>
      <c r="G52" s="1" t="s">
        <v>572</v>
      </c>
      <c r="H52" s="1" t="s">
        <v>328</v>
      </c>
      <c r="I52" s="1" t="s">
        <v>573</v>
      </c>
      <c r="J52" s="1">
        <v>122</v>
      </c>
      <c r="K52" s="1" t="s">
        <v>574</v>
      </c>
      <c r="L52" s="1" t="s">
        <v>58</v>
      </c>
      <c r="M52" s="4">
        <v>43983</v>
      </c>
      <c r="N52" s="6" t="s">
        <v>15</v>
      </c>
      <c r="O52" s="1" t="s">
        <v>29</v>
      </c>
      <c r="P52" s="1" t="s">
        <v>68</v>
      </c>
      <c r="Q52" s="1">
        <v>1</v>
      </c>
      <c r="R52" s="1">
        <v>1</v>
      </c>
      <c r="S52" s="1" t="s">
        <v>68</v>
      </c>
      <c r="T52" s="16">
        <v>44287</v>
      </c>
      <c r="U52" s="16">
        <v>45352</v>
      </c>
      <c r="V52" s="1" t="s">
        <v>332</v>
      </c>
      <c r="W52" s="1" t="s">
        <v>332</v>
      </c>
      <c r="X52" s="1" t="s">
        <v>332</v>
      </c>
      <c r="Y52" s="23">
        <v>45363</v>
      </c>
    </row>
    <row r="53" spans="1:25" ht="144" x14ac:dyDescent="0.25">
      <c r="A53" s="1">
        <v>49</v>
      </c>
      <c r="B53" s="1" t="s">
        <v>575</v>
      </c>
      <c r="C53" s="1" t="s">
        <v>576</v>
      </c>
      <c r="D53" s="1" t="s">
        <v>325</v>
      </c>
      <c r="E53" s="1" t="s">
        <v>571</v>
      </c>
      <c r="F53" s="1">
        <v>34650.756000000001</v>
      </c>
      <c r="G53" s="1" t="s">
        <v>572</v>
      </c>
      <c r="H53" s="1" t="s">
        <v>328</v>
      </c>
      <c r="I53" s="1" t="s">
        <v>573</v>
      </c>
      <c r="J53" s="1">
        <v>95</v>
      </c>
      <c r="K53" s="1" t="s">
        <v>154</v>
      </c>
      <c r="L53" s="1" t="s">
        <v>58</v>
      </c>
      <c r="M53" s="4">
        <v>44211</v>
      </c>
      <c r="N53" s="1" t="s">
        <v>15</v>
      </c>
      <c r="O53" s="1" t="s">
        <v>29</v>
      </c>
      <c r="P53" s="1" t="s">
        <v>68</v>
      </c>
      <c r="Q53" s="1">
        <v>1</v>
      </c>
      <c r="R53" s="1">
        <v>1</v>
      </c>
      <c r="S53" s="1" t="s">
        <v>68</v>
      </c>
      <c r="T53" s="16">
        <v>44287</v>
      </c>
      <c r="U53" s="16">
        <v>45352</v>
      </c>
      <c r="V53" s="1" t="s">
        <v>332</v>
      </c>
      <c r="W53" s="1" t="s">
        <v>332</v>
      </c>
      <c r="X53" s="1" t="s">
        <v>332</v>
      </c>
      <c r="Y53" s="23">
        <v>45363</v>
      </c>
    </row>
    <row r="54" spans="1:25" ht="144" x14ac:dyDescent="0.25">
      <c r="A54" s="1">
        <v>50</v>
      </c>
      <c r="B54" s="1" t="s">
        <v>577</v>
      </c>
      <c r="C54" s="1" t="s">
        <v>578</v>
      </c>
      <c r="D54" s="1" t="s">
        <v>325</v>
      </c>
      <c r="E54" s="1" t="s">
        <v>571</v>
      </c>
      <c r="F54" s="1">
        <v>23592.500100000001</v>
      </c>
      <c r="G54" s="1" t="s">
        <v>572</v>
      </c>
      <c r="H54" s="1" t="s">
        <v>328</v>
      </c>
      <c r="I54" s="1" t="s">
        <v>573</v>
      </c>
      <c r="J54" s="1">
        <v>95</v>
      </c>
      <c r="K54" s="1" t="s">
        <v>154</v>
      </c>
      <c r="L54" s="1" t="s">
        <v>58</v>
      </c>
      <c r="M54" s="4">
        <v>44211</v>
      </c>
      <c r="N54" s="1" t="s">
        <v>15</v>
      </c>
      <c r="O54" s="1" t="s">
        <v>29</v>
      </c>
      <c r="P54" s="1" t="s">
        <v>68</v>
      </c>
      <c r="Q54" s="1">
        <v>1</v>
      </c>
      <c r="R54" s="1">
        <v>1</v>
      </c>
      <c r="S54" s="1" t="s">
        <v>68</v>
      </c>
      <c r="T54" s="16">
        <v>44713</v>
      </c>
      <c r="U54" s="16">
        <v>45352</v>
      </c>
      <c r="V54" s="1" t="s">
        <v>332</v>
      </c>
      <c r="W54" s="1" t="s">
        <v>332</v>
      </c>
      <c r="X54" s="1" t="s">
        <v>332</v>
      </c>
      <c r="Y54" s="23">
        <v>45364</v>
      </c>
    </row>
    <row r="55" spans="1:25" ht="144" x14ac:dyDescent="0.25">
      <c r="A55" s="1">
        <v>51</v>
      </c>
      <c r="B55" s="1" t="s">
        <v>579</v>
      </c>
      <c r="C55" s="1" t="s">
        <v>580</v>
      </c>
      <c r="D55" s="1" t="s">
        <v>325</v>
      </c>
      <c r="E55" s="1" t="s">
        <v>571</v>
      </c>
      <c r="F55" s="1">
        <v>9086.8860000000004</v>
      </c>
      <c r="G55" s="1" t="s">
        <v>572</v>
      </c>
      <c r="H55" s="1" t="s">
        <v>328</v>
      </c>
      <c r="I55" s="1" t="s">
        <v>573</v>
      </c>
      <c r="J55" s="1">
        <v>95</v>
      </c>
      <c r="K55" s="1" t="s">
        <v>154</v>
      </c>
      <c r="L55" s="1" t="s">
        <v>58</v>
      </c>
      <c r="M55" s="4">
        <v>44211</v>
      </c>
      <c r="N55" s="1" t="s">
        <v>15</v>
      </c>
      <c r="O55" s="1" t="s">
        <v>29</v>
      </c>
      <c r="P55" s="1" t="s">
        <v>68</v>
      </c>
      <c r="Q55" s="1">
        <v>1</v>
      </c>
      <c r="R55" s="1">
        <v>1</v>
      </c>
      <c r="S55" s="1" t="s">
        <v>68</v>
      </c>
      <c r="T55" s="16">
        <v>44713</v>
      </c>
      <c r="U55" s="16">
        <v>45352</v>
      </c>
      <c r="V55" s="1" t="s">
        <v>332</v>
      </c>
      <c r="W55" s="1" t="s">
        <v>332</v>
      </c>
      <c r="X55" s="1" t="s">
        <v>332</v>
      </c>
      <c r="Y55" s="23">
        <v>45364</v>
      </c>
    </row>
    <row r="56" spans="1:25" ht="216" x14ac:dyDescent="0.25">
      <c r="A56" s="1">
        <v>52</v>
      </c>
      <c r="B56" s="1" t="s">
        <v>581</v>
      </c>
      <c r="C56" s="1" t="s">
        <v>582</v>
      </c>
      <c r="D56" s="1" t="s">
        <v>325</v>
      </c>
      <c r="E56" s="12" t="s">
        <v>557</v>
      </c>
      <c r="F56" s="1">
        <v>67089.826000000001</v>
      </c>
      <c r="G56" s="1" t="s">
        <v>583</v>
      </c>
      <c r="H56" s="1" t="s">
        <v>328</v>
      </c>
      <c r="I56" s="1" t="s">
        <v>584</v>
      </c>
      <c r="J56" s="1">
        <v>129.35480000000001</v>
      </c>
      <c r="K56" s="1" t="s">
        <v>585</v>
      </c>
      <c r="L56" s="1" t="s">
        <v>58</v>
      </c>
      <c r="M56" s="16">
        <v>45139</v>
      </c>
      <c r="N56" s="12" t="s">
        <v>15</v>
      </c>
      <c r="O56" s="12" t="s">
        <v>29</v>
      </c>
      <c r="P56" s="12" t="s">
        <v>567</v>
      </c>
      <c r="Q56" s="1">
        <v>1</v>
      </c>
      <c r="R56" s="1">
        <v>1</v>
      </c>
      <c r="S56" s="1" t="s">
        <v>91</v>
      </c>
      <c r="T56" s="16">
        <v>45170</v>
      </c>
      <c r="U56" s="16">
        <v>45355</v>
      </c>
      <c r="V56" s="1" t="s">
        <v>332</v>
      </c>
      <c r="W56" s="1" t="s">
        <v>332</v>
      </c>
      <c r="X56" s="1" t="s">
        <v>332</v>
      </c>
      <c r="Y56" s="23">
        <v>45365</v>
      </c>
    </row>
    <row r="57" spans="1:25" ht="129.6" x14ac:dyDescent="0.25">
      <c r="A57" s="1">
        <v>53</v>
      </c>
      <c r="B57" s="1" t="s">
        <v>586</v>
      </c>
      <c r="C57" s="1" t="s">
        <v>587</v>
      </c>
      <c r="D57" s="1" t="s">
        <v>325</v>
      </c>
      <c r="E57" s="12" t="s">
        <v>557</v>
      </c>
      <c r="F57" s="1">
        <v>107589.1664</v>
      </c>
      <c r="G57" s="1" t="s">
        <v>588</v>
      </c>
      <c r="H57" s="1" t="s">
        <v>328</v>
      </c>
      <c r="I57" s="1" t="s">
        <v>589</v>
      </c>
      <c r="J57" s="1">
        <v>69.367000000000004</v>
      </c>
      <c r="K57" s="1" t="s">
        <v>590</v>
      </c>
      <c r="L57" s="1" t="s">
        <v>58</v>
      </c>
      <c r="M57" s="16">
        <v>45170</v>
      </c>
      <c r="N57" s="12" t="s">
        <v>15</v>
      </c>
      <c r="O57" s="12" t="s">
        <v>29</v>
      </c>
      <c r="P57" s="12" t="s">
        <v>567</v>
      </c>
      <c r="Q57" s="1">
        <v>1</v>
      </c>
      <c r="R57" s="1">
        <v>1</v>
      </c>
      <c r="S57" s="1" t="s">
        <v>91</v>
      </c>
      <c r="T57" s="16">
        <v>45170</v>
      </c>
      <c r="U57" s="16">
        <v>45355</v>
      </c>
      <c r="V57" s="1" t="s">
        <v>332</v>
      </c>
      <c r="W57" s="1" t="s">
        <v>332</v>
      </c>
      <c r="X57" s="1" t="s">
        <v>332</v>
      </c>
      <c r="Y57" s="23">
        <v>45366</v>
      </c>
    </row>
    <row r="58" spans="1:25" ht="57.6" x14ac:dyDescent="0.25">
      <c r="A58" s="1">
        <v>54</v>
      </c>
      <c r="B58" s="1" t="s">
        <v>591</v>
      </c>
      <c r="C58" s="1" t="s">
        <v>592</v>
      </c>
      <c r="D58" s="1" t="s">
        <v>325</v>
      </c>
      <c r="E58" s="12" t="s">
        <v>557</v>
      </c>
      <c r="F58" s="13">
        <v>161038.76790000001</v>
      </c>
      <c r="G58" s="1" t="s">
        <v>593</v>
      </c>
      <c r="H58" s="1" t="s">
        <v>328</v>
      </c>
      <c r="I58" s="1" t="s">
        <v>594</v>
      </c>
      <c r="J58" s="1">
        <v>147.67269999999999</v>
      </c>
      <c r="K58" s="1" t="s">
        <v>595</v>
      </c>
      <c r="L58" s="1" t="s">
        <v>58</v>
      </c>
      <c r="M58" s="16">
        <v>45139</v>
      </c>
      <c r="N58" s="12" t="s">
        <v>15</v>
      </c>
      <c r="O58" s="12" t="s">
        <v>29</v>
      </c>
      <c r="P58" s="12" t="s">
        <v>567</v>
      </c>
      <c r="Q58" s="1">
        <v>1</v>
      </c>
      <c r="R58" s="1">
        <v>1</v>
      </c>
      <c r="S58" s="1" t="s">
        <v>91</v>
      </c>
      <c r="T58" s="16">
        <v>45170</v>
      </c>
      <c r="U58" s="16">
        <v>45355</v>
      </c>
      <c r="V58" s="1" t="s">
        <v>332</v>
      </c>
      <c r="W58" s="1" t="s">
        <v>332</v>
      </c>
      <c r="X58" s="1" t="s">
        <v>332</v>
      </c>
      <c r="Y58" s="23">
        <v>45366</v>
      </c>
    </row>
    <row r="59" spans="1:25" ht="57.6" x14ac:dyDescent="0.25">
      <c r="A59" s="1">
        <v>55</v>
      </c>
      <c r="B59" s="1" t="s">
        <v>596</v>
      </c>
      <c r="C59" s="1" t="s">
        <v>597</v>
      </c>
      <c r="D59" s="1" t="s">
        <v>325</v>
      </c>
      <c r="E59" s="12" t="s">
        <v>557</v>
      </c>
      <c r="F59" s="1">
        <v>146777.82019999999</v>
      </c>
      <c r="G59" s="1" t="s">
        <v>598</v>
      </c>
      <c r="H59" s="1" t="s">
        <v>328</v>
      </c>
      <c r="I59" s="1" t="s">
        <v>599</v>
      </c>
      <c r="J59" s="1">
        <v>194.71270000000001</v>
      </c>
      <c r="K59" s="1" t="s">
        <v>600</v>
      </c>
      <c r="L59" s="1" t="s">
        <v>58</v>
      </c>
      <c r="M59" s="16">
        <v>45143</v>
      </c>
      <c r="N59" s="12" t="s">
        <v>15</v>
      </c>
      <c r="O59" s="12" t="s">
        <v>29</v>
      </c>
      <c r="P59" s="12" t="s">
        <v>567</v>
      </c>
      <c r="Q59" s="1">
        <v>1</v>
      </c>
      <c r="R59" s="1">
        <v>1</v>
      </c>
      <c r="S59" s="1" t="s">
        <v>91</v>
      </c>
      <c r="T59" s="16">
        <v>45139</v>
      </c>
      <c r="U59" s="16">
        <v>45355</v>
      </c>
      <c r="V59" s="1" t="s">
        <v>332</v>
      </c>
      <c r="W59" s="1" t="s">
        <v>332</v>
      </c>
      <c r="X59" s="1" t="s">
        <v>332</v>
      </c>
      <c r="Y59" s="23">
        <v>45369</v>
      </c>
    </row>
    <row r="60" spans="1:25" ht="72" x14ac:dyDescent="0.25">
      <c r="A60" s="1">
        <v>56</v>
      </c>
      <c r="B60" s="1" t="s">
        <v>601</v>
      </c>
      <c r="C60" s="1" t="s">
        <v>602</v>
      </c>
      <c r="D60" s="1" t="s">
        <v>325</v>
      </c>
      <c r="E60" s="1" t="s">
        <v>603</v>
      </c>
      <c r="F60" s="1">
        <v>1052.6869999999999</v>
      </c>
      <c r="G60" s="1" t="s">
        <v>604</v>
      </c>
      <c r="H60" s="1" t="s">
        <v>497</v>
      </c>
      <c r="I60" s="1" t="s">
        <v>605</v>
      </c>
      <c r="J60" s="1"/>
      <c r="K60" s="1" t="s">
        <v>333</v>
      </c>
      <c r="L60" s="1"/>
      <c r="M60" s="1"/>
      <c r="N60" s="12" t="s">
        <v>15</v>
      </c>
      <c r="O60" s="12" t="s">
        <v>29</v>
      </c>
      <c r="P60" s="1" t="s">
        <v>91</v>
      </c>
      <c r="Q60" s="1">
        <v>1</v>
      </c>
      <c r="R60" s="1">
        <v>1</v>
      </c>
      <c r="S60" s="1" t="s">
        <v>218</v>
      </c>
      <c r="T60" s="16">
        <v>45229</v>
      </c>
      <c r="U60" s="16">
        <v>45356</v>
      </c>
      <c r="V60" s="1" t="s">
        <v>332</v>
      </c>
      <c r="W60" s="1" t="s">
        <v>332</v>
      </c>
      <c r="X60" s="1" t="s">
        <v>332</v>
      </c>
      <c r="Y60" s="23">
        <v>45370</v>
      </c>
    </row>
    <row r="61" spans="1:25" ht="72" x14ac:dyDescent="0.25">
      <c r="A61" s="1">
        <v>57</v>
      </c>
      <c r="B61" s="1" t="s">
        <v>606</v>
      </c>
      <c r="C61" s="55" t="s">
        <v>622</v>
      </c>
      <c r="D61" s="55" t="s">
        <v>625</v>
      </c>
      <c r="E61" s="55" t="s">
        <v>624</v>
      </c>
      <c r="F61" s="1">
        <v>238.67740000000001</v>
      </c>
      <c r="G61" s="1" t="s">
        <v>604</v>
      </c>
      <c r="H61" s="1" t="s">
        <v>497</v>
      </c>
      <c r="I61" s="1" t="s">
        <v>607</v>
      </c>
      <c r="J61" s="1"/>
      <c r="K61" s="1" t="s">
        <v>333</v>
      </c>
      <c r="L61" s="1"/>
      <c r="M61" s="1"/>
      <c r="N61" s="12" t="s">
        <v>15</v>
      </c>
      <c r="O61" s="12" t="s">
        <v>29</v>
      </c>
      <c r="P61" s="1" t="s">
        <v>91</v>
      </c>
      <c r="Q61" s="1">
        <v>1</v>
      </c>
      <c r="R61" s="1">
        <v>1</v>
      </c>
      <c r="S61" s="1" t="s">
        <v>218</v>
      </c>
      <c r="T61" s="16">
        <v>45229</v>
      </c>
      <c r="U61" s="16">
        <v>45356</v>
      </c>
      <c r="V61" s="1" t="s">
        <v>332</v>
      </c>
      <c r="W61" s="1" t="s">
        <v>332</v>
      </c>
      <c r="X61" s="1" t="s">
        <v>332</v>
      </c>
      <c r="Y61" s="23">
        <v>45370</v>
      </c>
    </row>
    <row r="62" spans="1:25" ht="72" x14ac:dyDescent="0.25">
      <c r="A62" s="1">
        <v>58</v>
      </c>
      <c r="B62" s="1" t="s">
        <v>608</v>
      </c>
      <c r="C62" s="55" t="s">
        <v>623</v>
      </c>
      <c r="D62" s="1" t="s">
        <v>325</v>
      </c>
      <c r="E62" s="1" t="s">
        <v>603</v>
      </c>
      <c r="F62" s="1">
        <v>745.68679999999995</v>
      </c>
      <c r="G62" s="1" t="s">
        <v>604</v>
      </c>
      <c r="H62" s="1" t="s">
        <v>497</v>
      </c>
      <c r="I62" s="1" t="s">
        <v>609</v>
      </c>
      <c r="J62" s="1"/>
      <c r="K62" s="1" t="s">
        <v>333</v>
      </c>
      <c r="L62" s="1"/>
      <c r="M62" s="1"/>
      <c r="N62" s="12" t="s">
        <v>15</v>
      </c>
      <c r="O62" s="12" t="s">
        <v>29</v>
      </c>
      <c r="P62" s="1" t="s">
        <v>91</v>
      </c>
      <c r="Q62" s="1">
        <v>1</v>
      </c>
      <c r="R62" s="1">
        <v>1</v>
      </c>
      <c r="S62" s="1" t="s">
        <v>218</v>
      </c>
      <c r="T62" s="16">
        <v>45275</v>
      </c>
      <c r="U62" s="16">
        <v>45356</v>
      </c>
      <c r="V62" s="1" t="s">
        <v>332</v>
      </c>
      <c r="W62" s="1" t="s">
        <v>332</v>
      </c>
      <c r="X62" s="1" t="s">
        <v>332</v>
      </c>
      <c r="Y62" s="23">
        <v>45370</v>
      </c>
    </row>
    <row r="63" spans="1:25" ht="63.6" customHeight="1" x14ac:dyDescent="0.25">
      <c r="A63" s="1">
        <v>59</v>
      </c>
      <c r="B63" s="55" t="s">
        <v>611</v>
      </c>
      <c r="C63" s="55" t="s">
        <v>610</v>
      </c>
      <c r="D63" s="55" t="s">
        <v>615</v>
      </c>
      <c r="E63" s="55" t="s">
        <v>612</v>
      </c>
      <c r="F63" s="1">
        <v>7086.6797999999999</v>
      </c>
      <c r="G63" s="55" t="s">
        <v>613</v>
      </c>
      <c r="H63" s="55" t="s">
        <v>614</v>
      </c>
      <c r="I63" s="55" t="s">
        <v>616</v>
      </c>
      <c r="J63" s="1">
        <v>15</v>
      </c>
      <c r="K63" s="1" t="s">
        <v>95</v>
      </c>
      <c r="L63" s="1" t="s">
        <v>96</v>
      </c>
      <c r="M63" s="16">
        <v>43913</v>
      </c>
      <c r="N63" s="12" t="s">
        <v>15</v>
      </c>
      <c r="O63" s="12" t="s">
        <v>29</v>
      </c>
      <c r="P63" s="55" t="s">
        <v>619</v>
      </c>
      <c r="Q63" s="1">
        <v>1</v>
      </c>
      <c r="R63" s="1">
        <v>1</v>
      </c>
      <c r="S63" s="55" t="s">
        <v>619</v>
      </c>
      <c r="T63" s="16">
        <v>44652</v>
      </c>
      <c r="U63" s="16">
        <v>45902</v>
      </c>
      <c r="V63" s="55" t="s">
        <v>620</v>
      </c>
      <c r="W63" s="55" t="s">
        <v>620</v>
      </c>
      <c r="X63" s="55" t="s">
        <v>621</v>
      </c>
      <c r="Y63" s="23">
        <v>45902</v>
      </c>
    </row>
    <row r="64" spans="1:25" ht="100.8" x14ac:dyDescent="0.25">
      <c r="A64" s="1">
        <v>60</v>
      </c>
      <c r="B64" s="55" t="s">
        <v>630</v>
      </c>
      <c r="C64" s="55" t="s">
        <v>637</v>
      </c>
      <c r="D64" s="55" t="s">
        <v>631</v>
      </c>
      <c r="E64" s="55" t="s">
        <v>612</v>
      </c>
      <c r="F64" s="1">
        <v>6466.1553000000004</v>
      </c>
      <c r="G64" s="57" t="s">
        <v>632</v>
      </c>
      <c r="H64" s="55" t="s">
        <v>633</v>
      </c>
      <c r="I64" s="55" t="s">
        <v>634</v>
      </c>
      <c r="J64" s="1">
        <v>15</v>
      </c>
      <c r="K64" s="55" t="s">
        <v>636</v>
      </c>
      <c r="L64" s="55" t="s">
        <v>627</v>
      </c>
      <c r="M64" s="4">
        <v>45219</v>
      </c>
      <c r="N64" s="55" t="s">
        <v>632</v>
      </c>
      <c r="O64" s="55" t="s">
        <v>632</v>
      </c>
      <c r="P64" s="55" t="s">
        <v>632</v>
      </c>
      <c r="Q64" s="1">
        <v>1</v>
      </c>
      <c r="R64" s="1">
        <v>1</v>
      </c>
      <c r="S64" s="1" t="s">
        <v>218</v>
      </c>
      <c r="T64" s="16">
        <v>45809</v>
      </c>
      <c r="U64" s="16">
        <v>45908</v>
      </c>
      <c r="V64" s="55" t="s">
        <v>635</v>
      </c>
      <c r="W64" s="55" t="s">
        <v>635</v>
      </c>
      <c r="X64" s="55" t="s">
        <v>635</v>
      </c>
      <c r="Y64" s="16">
        <v>45908</v>
      </c>
    </row>
    <row r="65" spans="1:24" x14ac:dyDescent="0.25">
      <c r="A65" s="1"/>
      <c r="B65" s="1"/>
      <c r="C65" s="1"/>
      <c r="D65" s="1"/>
      <c r="E65" s="1"/>
      <c r="F65" s="1"/>
      <c r="G65" s="1"/>
      <c r="H65" s="1"/>
      <c r="I65" s="1"/>
      <c r="J65" s="1"/>
      <c r="K65" s="1"/>
      <c r="L65" s="1"/>
      <c r="M65" s="1"/>
      <c r="N65" s="1"/>
      <c r="O65" s="1"/>
      <c r="P65" s="1"/>
      <c r="Q65" s="1"/>
      <c r="R65" s="1"/>
      <c r="S65" s="1"/>
      <c r="T65" s="1"/>
      <c r="U65" s="1"/>
      <c r="V65" s="1"/>
      <c r="W65" s="1"/>
      <c r="X65" s="1"/>
    </row>
    <row r="66" spans="1:24" x14ac:dyDescent="0.25">
      <c r="A66" s="1"/>
      <c r="B66" s="1"/>
      <c r="C66" s="1"/>
      <c r="D66" s="1"/>
      <c r="E66" s="1"/>
      <c r="F66" s="1"/>
      <c r="G66" s="1"/>
      <c r="H66" s="1"/>
      <c r="I66" s="1"/>
      <c r="J66" s="1"/>
      <c r="K66" s="1"/>
      <c r="L66" s="1"/>
      <c r="M66" s="1"/>
      <c r="N66" s="1"/>
      <c r="O66" s="1"/>
      <c r="P66" s="1"/>
      <c r="Q66" s="1"/>
      <c r="R66" s="1"/>
      <c r="S66" s="1"/>
      <c r="T66" s="1"/>
      <c r="U66" s="1"/>
      <c r="V66" s="1"/>
      <c r="W66" s="1"/>
      <c r="X66" s="1"/>
    </row>
    <row r="67" spans="1:24" x14ac:dyDescent="0.25">
      <c r="A67" s="1"/>
      <c r="B67" s="1"/>
      <c r="C67" s="1"/>
      <c r="D67" s="1"/>
      <c r="E67" s="1"/>
      <c r="F67" s="1"/>
      <c r="G67" s="1"/>
      <c r="H67" s="1"/>
      <c r="I67" s="1"/>
      <c r="J67" s="1"/>
      <c r="K67" s="1"/>
      <c r="L67" s="1"/>
      <c r="M67" s="1"/>
      <c r="N67" s="1"/>
      <c r="O67" s="1"/>
      <c r="P67" s="1"/>
      <c r="Q67" s="1"/>
      <c r="R67" s="1"/>
      <c r="S67" s="1"/>
      <c r="T67" s="1"/>
      <c r="U67" s="1"/>
      <c r="V67" s="1"/>
      <c r="W67" s="1"/>
      <c r="X67" s="1"/>
    </row>
    <row r="68" spans="1:24" x14ac:dyDescent="0.25">
      <c r="A68" s="1"/>
      <c r="B68" s="1"/>
      <c r="C68" s="1"/>
      <c r="D68" s="1"/>
      <c r="E68" s="1"/>
      <c r="F68" s="1"/>
      <c r="G68" s="1"/>
      <c r="H68" s="1"/>
      <c r="I68" s="1"/>
      <c r="J68" s="1"/>
      <c r="K68" s="1"/>
      <c r="L68" s="1"/>
      <c r="M68" s="1"/>
      <c r="N68" s="1"/>
      <c r="O68" s="1"/>
      <c r="P68" s="1"/>
      <c r="Q68" s="1"/>
      <c r="R68" s="1"/>
      <c r="S68" s="1"/>
      <c r="T68" s="1"/>
      <c r="U68" s="1"/>
      <c r="V68" s="1"/>
      <c r="W68" s="1"/>
      <c r="X68" s="1"/>
    </row>
    <row r="69" spans="1:24" x14ac:dyDescent="0.25">
      <c r="A69" s="1"/>
      <c r="B69" s="1"/>
      <c r="C69" s="1"/>
      <c r="D69" s="1"/>
      <c r="E69" s="1"/>
      <c r="F69" s="1"/>
      <c r="G69" s="1"/>
      <c r="H69" s="1"/>
      <c r="I69" s="1"/>
      <c r="J69" s="1"/>
      <c r="K69" s="1"/>
      <c r="L69" s="1"/>
      <c r="M69" s="1"/>
      <c r="N69" s="1"/>
      <c r="O69" s="1"/>
      <c r="P69" s="1"/>
      <c r="Q69" s="1"/>
      <c r="R69" s="1"/>
      <c r="S69" s="1"/>
      <c r="T69" s="1"/>
      <c r="U69" s="1"/>
      <c r="V69" s="1"/>
      <c r="W69" s="1"/>
      <c r="X69" s="1"/>
    </row>
    <row r="70" spans="1:24" x14ac:dyDescent="0.25">
      <c r="A70" s="1"/>
      <c r="B70" s="1"/>
      <c r="C70" s="1"/>
      <c r="D70" s="1"/>
      <c r="E70" s="1"/>
      <c r="F70" s="1"/>
      <c r="G70" s="1"/>
      <c r="H70" s="1"/>
      <c r="I70" s="1"/>
      <c r="J70" s="1"/>
      <c r="K70" s="1"/>
      <c r="L70" s="1"/>
      <c r="M70" s="1"/>
      <c r="N70" s="1"/>
      <c r="O70" s="1"/>
      <c r="P70" s="1"/>
      <c r="Q70" s="1"/>
      <c r="R70" s="1"/>
      <c r="S70" s="1"/>
      <c r="T70" s="1"/>
      <c r="U70" s="1"/>
      <c r="V70" s="1"/>
      <c r="W70" s="1"/>
      <c r="X70" s="1"/>
    </row>
    <row r="71" spans="1:24" x14ac:dyDescent="0.25">
      <c r="A71" s="1"/>
      <c r="B71" s="1"/>
      <c r="C71" s="1"/>
      <c r="D71" s="1"/>
      <c r="E71" s="1"/>
      <c r="F71" s="1"/>
      <c r="G71" s="1"/>
      <c r="H71" s="1"/>
      <c r="I71" s="1"/>
      <c r="J71" s="1"/>
      <c r="K71" s="1"/>
      <c r="L71" s="1"/>
      <c r="M71" s="1"/>
      <c r="N71" s="1"/>
      <c r="O71" s="1"/>
      <c r="P71" s="1"/>
      <c r="Q71" s="1"/>
      <c r="R71" s="1"/>
      <c r="S71" s="1"/>
      <c r="T71" s="1"/>
      <c r="U71" s="1"/>
      <c r="V71" s="1"/>
      <c r="W71" s="1"/>
      <c r="X71" s="1"/>
    </row>
    <row r="72" spans="1:24" x14ac:dyDescent="0.25">
      <c r="A72" s="1"/>
      <c r="B72" s="1"/>
      <c r="C72" s="1"/>
      <c r="D72" s="1"/>
      <c r="E72" s="1"/>
      <c r="F72" s="1"/>
      <c r="G72" s="1"/>
      <c r="H72" s="1"/>
      <c r="I72" s="1"/>
      <c r="J72" s="1"/>
      <c r="K72" s="1"/>
      <c r="L72" s="1"/>
      <c r="M72" s="1"/>
      <c r="N72" s="1"/>
      <c r="O72" s="1"/>
      <c r="P72" s="1"/>
      <c r="Q72" s="1"/>
      <c r="R72" s="1"/>
      <c r="S72" s="1"/>
      <c r="T72" s="1"/>
      <c r="U72" s="1"/>
      <c r="V72" s="1"/>
      <c r="W72" s="1"/>
      <c r="X72" s="1"/>
    </row>
    <row r="73" spans="1:24" x14ac:dyDescent="0.25">
      <c r="A73" s="1"/>
      <c r="B73" s="1"/>
      <c r="C73" s="1"/>
      <c r="D73" s="1"/>
      <c r="E73" s="1"/>
      <c r="F73" s="1"/>
      <c r="G73" s="1"/>
      <c r="H73" s="1"/>
      <c r="I73" s="1"/>
      <c r="J73" s="1"/>
      <c r="K73" s="1"/>
      <c r="L73" s="1"/>
      <c r="M73" s="1"/>
      <c r="N73" s="1"/>
      <c r="O73" s="1"/>
      <c r="P73" s="1"/>
      <c r="Q73" s="1"/>
      <c r="R73" s="1"/>
      <c r="S73" s="1"/>
      <c r="T73" s="1"/>
      <c r="U73" s="1"/>
      <c r="V73" s="1"/>
      <c r="W73" s="1"/>
      <c r="X73" s="1"/>
    </row>
    <row r="74" spans="1:24" x14ac:dyDescent="0.25">
      <c r="A74" s="1"/>
      <c r="B74" s="1"/>
      <c r="C74" s="1"/>
      <c r="D74" s="1"/>
      <c r="E74" s="1"/>
      <c r="F74" s="1"/>
      <c r="G74" s="1"/>
      <c r="H74" s="1"/>
      <c r="I74" s="1"/>
      <c r="J74" s="1"/>
      <c r="K74" s="1"/>
      <c r="L74" s="1"/>
      <c r="M74" s="1"/>
      <c r="N74" s="1"/>
      <c r="O74" s="1"/>
      <c r="P74" s="1"/>
      <c r="Q74" s="1"/>
      <c r="R74" s="1"/>
      <c r="S74" s="1"/>
      <c r="T74" s="1"/>
      <c r="U74" s="1"/>
      <c r="V74" s="1"/>
      <c r="W74" s="1"/>
      <c r="X74" s="1"/>
    </row>
    <row r="75" spans="1:24" x14ac:dyDescent="0.25">
      <c r="A75" s="1"/>
      <c r="B75" s="1"/>
      <c r="C75" s="1"/>
      <c r="D75" s="1"/>
      <c r="E75" s="1"/>
      <c r="F75" s="1"/>
      <c r="G75" s="1"/>
      <c r="H75" s="1"/>
      <c r="I75" s="1"/>
      <c r="J75" s="1"/>
      <c r="K75" s="1"/>
      <c r="L75" s="1"/>
      <c r="M75" s="1"/>
      <c r="N75" s="1"/>
      <c r="O75" s="1"/>
      <c r="P75" s="1"/>
      <c r="Q75" s="1"/>
      <c r="R75" s="1"/>
      <c r="S75" s="1"/>
      <c r="T75" s="1"/>
      <c r="U75" s="1"/>
      <c r="V75" s="1"/>
      <c r="W75" s="1"/>
      <c r="X75" s="1"/>
    </row>
    <row r="76" spans="1:24" x14ac:dyDescent="0.25">
      <c r="A76" s="1"/>
      <c r="B76" s="1"/>
      <c r="C76" s="1"/>
      <c r="D76" s="1"/>
      <c r="E76" s="1"/>
      <c r="F76" s="1"/>
      <c r="G76" s="1"/>
      <c r="H76" s="1"/>
      <c r="I76" s="1"/>
      <c r="J76" s="1"/>
      <c r="K76" s="1"/>
      <c r="L76" s="1"/>
      <c r="M76" s="1"/>
      <c r="N76" s="1"/>
      <c r="O76" s="1"/>
      <c r="P76" s="1"/>
      <c r="Q76" s="1"/>
      <c r="R76" s="1"/>
      <c r="S76" s="1"/>
      <c r="T76" s="1"/>
      <c r="U76" s="1"/>
      <c r="V76" s="1"/>
      <c r="W76" s="1"/>
      <c r="X76" s="1"/>
    </row>
    <row r="77" spans="1:24" x14ac:dyDescent="0.25">
      <c r="A77" s="1"/>
      <c r="B77" s="1"/>
      <c r="C77" s="1"/>
      <c r="D77" s="1"/>
      <c r="E77" s="1"/>
      <c r="F77" s="1"/>
      <c r="G77" s="1"/>
      <c r="H77" s="1"/>
      <c r="I77" s="1"/>
      <c r="J77" s="1"/>
      <c r="K77" s="1"/>
      <c r="L77" s="1"/>
      <c r="M77" s="1"/>
      <c r="N77" s="1"/>
      <c r="O77" s="1"/>
      <c r="P77" s="1"/>
      <c r="Q77" s="1"/>
      <c r="R77" s="1"/>
      <c r="S77" s="1"/>
      <c r="T77" s="1"/>
      <c r="U77" s="1"/>
      <c r="V77" s="1"/>
      <c r="W77" s="1"/>
      <c r="X77" s="1"/>
    </row>
    <row r="78" spans="1:24" x14ac:dyDescent="0.25">
      <c r="A78" s="1"/>
      <c r="B78" s="1"/>
      <c r="C78" s="1"/>
      <c r="D78" s="1"/>
      <c r="E78" s="1"/>
      <c r="F78" s="1"/>
      <c r="G78" s="1"/>
      <c r="H78" s="1"/>
      <c r="I78" s="1"/>
      <c r="J78" s="1"/>
      <c r="K78" s="1"/>
      <c r="L78" s="1"/>
      <c r="M78" s="1"/>
      <c r="N78" s="1"/>
      <c r="O78" s="1"/>
      <c r="P78" s="1"/>
      <c r="Q78" s="1"/>
      <c r="R78" s="1"/>
      <c r="S78" s="1"/>
      <c r="T78" s="1"/>
      <c r="U78" s="1"/>
      <c r="V78" s="1"/>
      <c r="W78" s="1"/>
      <c r="X78" s="1"/>
    </row>
    <row r="79" spans="1:24" x14ac:dyDescent="0.25">
      <c r="A79" s="1"/>
      <c r="B79" s="1"/>
      <c r="C79" s="1"/>
      <c r="D79" s="1"/>
      <c r="E79" s="1"/>
      <c r="F79" s="1"/>
      <c r="G79" s="1"/>
      <c r="H79" s="1"/>
      <c r="I79" s="1"/>
      <c r="J79" s="1"/>
      <c r="K79" s="1"/>
      <c r="L79" s="1"/>
      <c r="M79" s="1"/>
      <c r="N79" s="1"/>
      <c r="O79" s="1"/>
      <c r="P79" s="1"/>
      <c r="Q79" s="1"/>
      <c r="R79" s="1"/>
      <c r="S79" s="1"/>
      <c r="T79" s="1"/>
      <c r="U79" s="1"/>
      <c r="V79" s="1"/>
      <c r="W79" s="1"/>
      <c r="X79" s="1"/>
    </row>
    <row r="80" spans="1:24" x14ac:dyDescent="0.25">
      <c r="A80" s="1"/>
      <c r="B80" s="1"/>
      <c r="C80" s="1"/>
      <c r="D80" s="1"/>
      <c r="E80" s="1"/>
      <c r="F80" s="1"/>
      <c r="G80" s="1"/>
      <c r="H80" s="1"/>
      <c r="I80" s="1"/>
      <c r="J80" s="1"/>
      <c r="K80" s="1"/>
      <c r="L80" s="1"/>
      <c r="M80" s="1"/>
      <c r="N80" s="1"/>
      <c r="O80" s="1"/>
      <c r="P80" s="1"/>
      <c r="Q80" s="1"/>
      <c r="R80" s="1"/>
      <c r="S80" s="1"/>
      <c r="T80" s="1"/>
      <c r="U80" s="1"/>
      <c r="V80" s="1"/>
      <c r="W80" s="1"/>
      <c r="X80" s="1"/>
    </row>
    <row r="81" spans="1:24" x14ac:dyDescent="0.25">
      <c r="A81" s="1"/>
      <c r="B81" s="1"/>
      <c r="C81" s="1"/>
      <c r="D81" s="1"/>
      <c r="E81" s="1"/>
      <c r="F81" s="1"/>
      <c r="G81" s="1"/>
      <c r="H81" s="1"/>
      <c r="I81" s="1"/>
      <c r="J81" s="1"/>
      <c r="K81" s="1"/>
      <c r="L81" s="1"/>
      <c r="M81" s="1"/>
      <c r="N81" s="1"/>
      <c r="O81" s="1"/>
      <c r="P81" s="1"/>
      <c r="Q81" s="1"/>
      <c r="R81" s="1"/>
      <c r="S81" s="1"/>
      <c r="T81" s="1"/>
      <c r="U81" s="1"/>
      <c r="V81" s="1"/>
      <c r="W81" s="1"/>
      <c r="X81" s="1"/>
    </row>
    <row r="82" spans="1:24" x14ac:dyDescent="0.25">
      <c r="A82" s="1"/>
      <c r="B82" s="1"/>
      <c r="C82" s="1"/>
      <c r="D82" s="1"/>
      <c r="E82" s="1"/>
      <c r="F82" s="1"/>
      <c r="G82" s="1"/>
      <c r="H82" s="1"/>
      <c r="I82" s="1"/>
      <c r="J82" s="1"/>
      <c r="K82" s="1"/>
      <c r="L82" s="1"/>
      <c r="M82" s="1"/>
      <c r="N82" s="1"/>
      <c r="O82" s="1"/>
      <c r="P82" s="1"/>
      <c r="Q82" s="1"/>
      <c r="R82" s="1"/>
      <c r="S82" s="1"/>
      <c r="T82" s="1"/>
      <c r="U82" s="1"/>
      <c r="V82" s="1"/>
      <c r="W82" s="1"/>
      <c r="X82" s="1"/>
    </row>
    <row r="83" spans="1:24" x14ac:dyDescent="0.25">
      <c r="A83" s="1"/>
      <c r="B83" s="1"/>
      <c r="C83" s="1"/>
      <c r="D83" s="1"/>
      <c r="E83" s="1"/>
      <c r="F83" s="1"/>
      <c r="G83" s="1"/>
      <c r="H83" s="1"/>
      <c r="I83" s="1"/>
      <c r="J83" s="1"/>
      <c r="K83" s="1"/>
      <c r="L83" s="1"/>
      <c r="M83" s="1"/>
      <c r="N83" s="1"/>
      <c r="O83" s="1"/>
      <c r="P83" s="1"/>
      <c r="Q83" s="1"/>
      <c r="R83" s="1"/>
      <c r="S83" s="1"/>
      <c r="T83" s="1"/>
      <c r="U83" s="1"/>
      <c r="V83" s="1"/>
      <c r="W83" s="1"/>
      <c r="X83" s="1"/>
    </row>
    <row r="84" spans="1:24" x14ac:dyDescent="0.25">
      <c r="A84" s="1"/>
      <c r="B84" s="1"/>
      <c r="C84" s="1"/>
      <c r="D84" s="1"/>
      <c r="E84" s="1"/>
      <c r="F84" s="1"/>
      <c r="G84" s="1"/>
      <c r="H84" s="1"/>
      <c r="I84" s="1"/>
      <c r="J84" s="1"/>
      <c r="K84" s="1"/>
      <c r="L84" s="1"/>
      <c r="M84" s="1"/>
      <c r="N84" s="1"/>
      <c r="O84" s="1"/>
      <c r="P84" s="1"/>
      <c r="Q84" s="1"/>
      <c r="R84" s="1"/>
      <c r="S84" s="1"/>
      <c r="T84" s="1"/>
      <c r="U84" s="1"/>
      <c r="V84" s="1"/>
      <c r="W84" s="1"/>
      <c r="X84" s="1"/>
    </row>
    <row r="85" spans="1:24" x14ac:dyDescent="0.25">
      <c r="A85" s="1"/>
      <c r="B85" s="1"/>
      <c r="C85" s="1"/>
      <c r="D85" s="1"/>
      <c r="E85" s="1"/>
      <c r="F85" s="1"/>
      <c r="G85" s="1"/>
      <c r="H85" s="1"/>
      <c r="I85" s="1"/>
      <c r="J85" s="1"/>
      <c r="K85" s="1"/>
      <c r="L85" s="1"/>
      <c r="M85" s="1"/>
      <c r="N85" s="1"/>
      <c r="O85" s="1"/>
      <c r="P85" s="1"/>
      <c r="Q85" s="1"/>
      <c r="R85" s="1"/>
      <c r="S85" s="1"/>
      <c r="T85" s="1"/>
      <c r="U85" s="1"/>
      <c r="V85" s="1"/>
      <c r="W85" s="1"/>
      <c r="X85" s="1"/>
    </row>
    <row r="86" spans="1:24" x14ac:dyDescent="0.25">
      <c r="A86" s="1"/>
      <c r="B86" s="1"/>
      <c r="C86" s="1"/>
      <c r="D86" s="1"/>
      <c r="E86" s="1"/>
      <c r="F86" s="1"/>
      <c r="G86" s="1"/>
      <c r="H86" s="1"/>
      <c r="I86" s="1"/>
      <c r="J86" s="1"/>
      <c r="K86" s="1"/>
      <c r="L86" s="1"/>
      <c r="M86" s="1"/>
      <c r="N86" s="1"/>
      <c r="O86" s="1"/>
      <c r="P86" s="1"/>
      <c r="Q86" s="1"/>
      <c r="R86" s="1"/>
      <c r="S86" s="1"/>
      <c r="T86" s="1"/>
      <c r="U86" s="1"/>
      <c r="V86" s="1"/>
      <c r="W86" s="1"/>
      <c r="X86" s="1"/>
    </row>
    <row r="87" spans="1:24" x14ac:dyDescent="0.25">
      <c r="A87" s="1"/>
      <c r="B87" s="1"/>
      <c r="C87" s="1"/>
      <c r="D87" s="1"/>
      <c r="E87" s="1"/>
      <c r="F87" s="1"/>
      <c r="G87" s="1"/>
      <c r="H87" s="1"/>
      <c r="I87" s="1"/>
      <c r="J87" s="1"/>
      <c r="K87" s="1"/>
      <c r="L87" s="1"/>
      <c r="M87" s="1"/>
      <c r="N87" s="1"/>
      <c r="O87" s="1"/>
      <c r="P87" s="1"/>
      <c r="Q87" s="1"/>
      <c r="R87" s="1"/>
      <c r="S87" s="1"/>
      <c r="T87" s="1"/>
      <c r="U87" s="1"/>
      <c r="V87" s="1"/>
      <c r="W87" s="1"/>
      <c r="X87" s="1"/>
    </row>
  </sheetData>
  <autoFilter ref="A3:Y63" xr:uid="{00000000-0009-0000-0000-000001000000}"/>
  <mergeCells count="11">
    <mergeCell ref="J5:J6"/>
    <mergeCell ref="K5:K6"/>
    <mergeCell ref="L5:L6"/>
    <mergeCell ref="M5:M6"/>
    <mergeCell ref="A1:F1"/>
    <mergeCell ref="J1:P1"/>
    <mergeCell ref="Q1:X1"/>
    <mergeCell ref="A2:F2"/>
    <mergeCell ref="G2:I2"/>
    <mergeCell ref="J2:P2"/>
    <mergeCell ref="Q2:X2"/>
  </mergeCells>
  <phoneticPr fontId="8"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0" sqref="B10"/>
    </sheetView>
  </sheetViews>
  <sheetFormatPr defaultColWidth="9" defaultRowHeight="14.4" x14ac:dyDescent="0.25"/>
  <cols>
    <col min="1" max="1" width="32.88671875" customWidth="1"/>
    <col min="2" max="2" width="29.109375" customWidth="1"/>
    <col min="3" max="3" width="23.88671875" customWidth="1"/>
    <col min="7" max="7" width="29.88671875" customWidth="1"/>
  </cols>
  <sheetData>
    <row r="1" spans="1:7" x14ac:dyDescent="0.25">
      <c r="A1">
        <v>1</v>
      </c>
      <c r="B1">
        <v>1</v>
      </c>
      <c r="C1">
        <v>1</v>
      </c>
      <c r="D1">
        <v>1</v>
      </c>
      <c r="E1">
        <v>1</v>
      </c>
      <c r="F1">
        <v>1</v>
      </c>
      <c r="G1">
        <v>1</v>
      </c>
    </row>
    <row r="2" spans="1:7" ht="28.8" x14ac:dyDescent="0.25">
      <c r="A2" s="1" t="s">
        <v>179</v>
      </c>
      <c r="B2" s="1" t="s">
        <v>58</v>
      </c>
      <c r="C2" s="2">
        <v>20</v>
      </c>
      <c r="D2" s="3"/>
      <c r="E2" s="3">
        <v>1</v>
      </c>
      <c r="F2" s="3" t="s">
        <v>126</v>
      </c>
      <c r="G2" s="4">
        <v>43040</v>
      </c>
    </row>
    <row r="3" spans="1:7" ht="28.8" x14ac:dyDescent="0.25">
      <c r="A3" s="1" t="s">
        <v>180</v>
      </c>
      <c r="B3" s="1" t="s">
        <v>58</v>
      </c>
      <c r="C3" s="2">
        <v>50</v>
      </c>
      <c r="D3" s="3"/>
      <c r="E3" s="3">
        <v>1</v>
      </c>
      <c r="F3" s="3" t="s">
        <v>126</v>
      </c>
      <c r="G3" s="4">
        <v>43525</v>
      </c>
    </row>
    <row r="4" spans="1:7" ht="28.8" x14ac:dyDescent="0.25">
      <c r="A4" s="1" t="s">
        <v>181</v>
      </c>
      <c r="B4" s="1" t="s">
        <v>58</v>
      </c>
      <c r="C4" s="2">
        <v>15.6</v>
      </c>
      <c r="D4" s="3"/>
      <c r="E4" s="3">
        <v>1</v>
      </c>
      <c r="F4" s="3" t="s">
        <v>126</v>
      </c>
      <c r="G4" s="4">
        <v>43586</v>
      </c>
    </row>
    <row r="5" spans="1:7" ht="43.2" x14ac:dyDescent="0.25">
      <c r="A5" s="1" t="s">
        <v>182</v>
      </c>
      <c r="B5" s="1" t="s">
        <v>58</v>
      </c>
      <c r="C5" s="2">
        <v>7.84</v>
      </c>
      <c r="D5" s="3"/>
      <c r="E5" s="3">
        <v>1</v>
      </c>
      <c r="F5" s="3" t="s">
        <v>126</v>
      </c>
      <c r="G5" s="4">
        <v>43678</v>
      </c>
    </row>
    <row r="6" spans="1:7" ht="28.8" x14ac:dyDescent="0.25">
      <c r="A6" s="1" t="s">
        <v>183</v>
      </c>
      <c r="B6" s="1" t="s">
        <v>58</v>
      </c>
      <c r="C6" s="2">
        <v>15.84</v>
      </c>
      <c r="D6" s="3"/>
      <c r="E6" s="3">
        <v>1</v>
      </c>
      <c r="F6" s="3" t="s">
        <v>126</v>
      </c>
      <c r="G6" s="4">
        <v>43709</v>
      </c>
    </row>
    <row r="7" spans="1:7" ht="28.8" x14ac:dyDescent="0.25">
      <c r="A7" s="1" t="s">
        <v>184</v>
      </c>
      <c r="B7" s="1" t="s">
        <v>58</v>
      </c>
      <c r="C7" s="2">
        <v>36</v>
      </c>
      <c r="D7" s="3"/>
      <c r="E7" s="3">
        <v>1</v>
      </c>
      <c r="F7" s="3" t="s">
        <v>126</v>
      </c>
      <c r="G7" s="4">
        <v>43739</v>
      </c>
    </row>
    <row r="8" spans="1:7" ht="43.2" x14ac:dyDescent="0.25">
      <c r="A8" s="1" t="s">
        <v>185</v>
      </c>
      <c r="B8" s="1" t="s">
        <v>58</v>
      </c>
      <c r="C8" s="2">
        <v>7.6</v>
      </c>
      <c r="D8" s="3"/>
      <c r="E8" s="3">
        <v>1</v>
      </c>
      <c r="F8" s="3" t="s">
        <v>126</v>
      </c>
      <c r="G8" s="4">
        <v>43952</v>
      </c>
    </row>
    <row r="9" spans="1:7" ht="28.8" x14ac:dyDescent="0.25">
      <c r="A9" s="1" t="s">
        <v>186</v>
      </c>
      <c r="B9" s="1" t="s">
        <v>58</v>
      </c>
      <c r="C9" s="2">
        <v>292</v>
      </c>
      <c r="D9" s="3"/>
      <c r="E9" s="3">
        <v>1</v>
      </c>
      <c r="F9" s="3" t="s">
        <v>126</v>
      </c>
      <c r="G9" s="4">
        <v>43983</v>
      </c>
    </row>
    <row r="10" spans="1:7" ht="28.8" x14ac:dyDescent="0.25">
      <c r="A10" s="1" t="s">
        <v>187</v>
      </c>
      <c r="B10" s="1" t="s">
        <v>58</v>
      </c>
      <c r="C10" s="2">
        <v>192</v>
      </c>
      <c r="D10" s="3"/>
      <c r="E10" s="3">
        <v>1</v>
      </c>
      <c r="F10" s="3" t="s">
        <v>126</v>
      </c>
      <c r="G10" s="4">
        <v>44013</v>
      </c>
    </row>
    <row r="11" spans="1:7" ht="57.6" x14ac:dyDescent="0.25">
      <c r="A11" s="1" t="s">
        <v>188</v>
      </c>
      <c r="B11" s="1" t="s">
        <v>58</v>
      </c>
      <c r="C11" s="2">
        <v>7.6</v>
      </c>
      <c r="D11" s="3"/>
      <c r="E11" s="3">
        <v>1</v>
      </c>
      <c r="F11" s="3" t="s">
        <v>126</v>
      </c>
      <c r="G11" s="4">
        <v>44044</v>
      </c>
    </row>
    <row r="12" spans="1:7" ht="43.2" x14ac:dyDescent="0.25">
      <c r="A12" s="1" t="s">
        <v>189</v>
      </c>
      <c r="B12" s="1" t="s">
        <v>58</v>
      </c>
      <c r="C12" s="2">
        <v>7.6</v>
      </c>
      <c r="D12" s="3"/>
      <c r="E12" s="3">
        <v>1</v>
      </c>
      <c r="F12" s="3" t="s">
        <v>126</v>
      </c>
      <c r="G12" s="4">
        <v>44075</v>
      </c>
    </row>
    <row r="13" spans="1:7" ht="28.8" x14ac:dyDescent="0.25">
      <c r="A13" s="1" t="s">
        <v>190</v>
      </c>
      <c r="B13" s="1" t="s">
        <v>58</v>
      </c>
      <c r="C13" s="2">
        <v>69.999998000000005</v>
      </c>
      <c r="D13" s="3"/>
      <c r="E13" s="3">
        <v>1</v>
      </c>
      <c r="F13" s="3" t="s">
        <v>126</v>
      </c>
      <c r="G13" s="4">
        <v>44105</v>
      </c>
    </row>
    <row r="14" spans="1:7" ht="28.8" x14ac:dyDescent="0.25">
      <c r="A14" s="1" t="s">
        <v>191</v>
      </c>
      <c r="B14" s="1" t="s">
        <v>58</v>
      </c>
      <c r="C14" s="2">
        <v>20</v>
      </c>
      <c r="D14" s="3"/>
      <c r="E14" s="3">
        <v>1</v>
      </c>
      <c r="F14" s="3" t="s">
        <v>126</v>
      </c>
      <c r="G14" s="4">
        <v>44197</v>
      </c>
    </row>
    <row r="15" spans="1:7" ht="28.8" x14ac:dyDescent="0.25">
      <c r="A15" s="1" t="s">
        <v>192</v>
      </c>
      <c r="B15" s="1" t="s">
        <v>58</v>
      </c>
      <c r="C15" s="2">
        <v>144.99999600000001</v>
      </c>
      <c r="D15" s="3"/>
      <c r="E15" s="3">
        <v>1</v>
      </c>
      <c r="F15" s="3" t="s">
        <v>126</v>
      </c>
      <c r="G15" s="4">
        <v>44256</v>
      </c>
    </row>
    <row r="16" spans="1:7" ht="28.8" x14ac:dyDescent="0.25">
      <c r="A16" s="1" t="s">
        <v>193</v>
      </c>
      <c r="B16" s="1" t="s">
        <v>58</v>
      </c>
      <c r="C16" s="2">
        <v>183.15599399999999</v>
      </c>
      <c r="D16" s="3"/>
      <c r="E16" s="3">
        <v>1</v>
      </c>
      <c r="F16" s="3" t="s">
        <v>126</v>
      </c>
      <c r="G16" s="4">
        <v>44470</v>
      </c>
    </row>
    <row r="17" spans="1:7" ht="28.8" x14ac:dyDescent="0.25">
      <c r="A17" s="1" t="s">
        <v>194</v>
      </c>
      <c r="B17" s="1" t="s">
        <v>58</v>
      </c>
      <c r="C17" s="2">
        <v>15.84</v>
      </c>
      <c r="D17" s="3"/>
      <c r="E17" s="3">
        <v>1</v>
      </c>
      <c r="F17" s="3" t="s">
        <v>126</v>
      </c>
      <c r="G17" s="4">
        <v>44501</v>
      </c>
    </row>
    <row r="18" spans="1:7" ht="28.8" x14ac:dyDescent="0.25">
      <c r="A18" s="1" t="s">
        <v>195</v>
      </c>
      <c r="B18" s="1" t="s">
        <v>58</v>
      </c>
      <c r="C18" s="2">
        <v>15.84</v>
      </c>
      <c r="D18" s="3"/>
      <c r="E18" s="3">
        <v>1</v>
      </c>
      <c r="F18" s="3" t="s">
        <v>126</v>
      </c>
      <c r="G18" s="4">
        <v>44501</v>
      </c>
    </row>
  </sheetData>
  <autoFilter ref="A1:G18" xr:uid="{00000000-0009-0000-0000-000002000000}"/>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2017-6合同</vt:lpstr>
      <vt:lpstr>2017-6咨询报告书</vt:lpstr>
      <vt:lpstr>原志宇部门做的造价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WQP</dc:creator>
  <cp:lastModifiedBy>青平 王</cp:lastModifiedBy>
  <dcterms:created xsi:type="dcterms:W3CDTF">2015-02-03T08:17:00Z</dcterms:created>
  <dcterms:modified xsi:type="dcterms:W3CDTF">2026-07-13T08:54:58Z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F858FC7AF855400CA4C10E2A37CCD70D</vt:lpwstr>
  </property>
  <property fmtid="{D5CDD505-2E9C-101B-9397-08002B2CF9AE}" pid="3" name="KSOProductBuildVer">
    <vt:lpwstr>2052-11.8.6.11825</vt:lpwstr>
  </property>
</Properties>
</file>